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190" activeTab="7"/>
  </bookViews>
  <sheets>
    <sheet name="tugraph_snb1" sheetId="5" r:id="rId1"/>
    <sheet name="tugraph_snb10" sheetId="29" r:id="rId2"/>
    <sheet name="neo4j_snb1" sheetId="24" r:id="rId3"/>
    <sheet name="neo4j_snb10" sheetId="30" r:id="rId4"/>
    <sheet name="snbSf1" sheetId="17" r:id="rId5"/>
    <sheet name="snbSf10" sheetId="28" r:id="rId6"/>
    <sheet name="delete_performance" sheetId="26" r:id="rId7"/>
    <sheet name="Compare_Gview" sheetId="32" r:id="rId8"/>
    <sheet name="Compare_Gview_Sql" sheetId="34" r:id="rId9"/>
    <sheet name="tugraph_finbench" sheetId="21" r:id="rId10"/>
    <sheet name="neo4j_finbench" sheetId="22" r:id="rId11"/>
    <sheet name="finbenchSf10" sheetId="1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<sst xmlns="http://schemas.openxmlformats.org/spreadsheetml/2006/main" count="530" uniqueCount="247">
  <si>
    <t>Tugrpah version：v4.1.0
OS：Ubuntu 22.04.2 LTS
Memory：256GB
CPU：Intel Xeon Gold 6248R 24-core Processor * 2</t>
  </si>
  <si>
    <t>Views</t>
  </si>
  <si>
    <t>create view ROOT_POST as 
( Construct (n)-[r:ROOT_POST]-&gt;(m) 
match (n:Comment)-[r1:replyOf*..]-&gt;(m:Post) )</t>
  </si>
  <si>
    <t>create view PERSON_PLACE as 
( Construct (n)-[r:PERSON_PLACE]-&gt;(m) 
match (n:Person)-[:personIsLocatedIn]-&gt;(:Place)-[:isPartOf]-&gt;(m:Place) )</t>
  </si>
  <si>
    <t>create view PERSON_TAG as 
( Construct (n)-[r:PERSON_TAG]-&gt;(m) 
match (n:Person)&lt;-[:postHasCreator]-(:Post)-[:postHasTag]-&gt;(m:Tag) )</t>
  </si>
  <si>
    <t>create view COMMENT_TAG as 
( Construct (n)-[r:COMMENT_TAG]-&gt;(m) 
match (n:Comment)-[:replyOf]-&gt;(:Post)-[:postHasTag]-&gt;(m:Tag) )</t>
  </si>
  <si>
    <t>queries</t>
  </si>
  <si>
    <t>time without views</t>
  </si>
  <si>
    <t>time of using views to optimize query graph</t>
  </si>
  <si>
    <t>time with views</t>
  </si>
  <si>
    <t>speed-up ration</t>
  </si>
  <si>
    <t>result</t>
  </si>
  <si>
    <t>profile without views</t>
  </si>
  <si>
    <t>profile with views</t>
  </si>
  <si>
    <t>db_hit ratio</t>
  </si>
  <si>
    <t>IC4</t>
  </si>
  <si>
    <t>match (n:Person)&lt;-[r1:postHasCreator]-(p:Post)-[r2:postHasTag]-&gt;(m:Tag) 
return count(*)</t>
  </si>
  <si>
    <t>total db hit:4457116
Profile statistics:
Produce Results (1 rows)
    Aggregate [count(*)] (1 rows)
        Expand(All) [p --&gt; m ] (713258 rows, 2430121 hits)
            Expand(All) [n &lt;-- p ] (1003605 rows, 2017102 hits)
                Node By Label Scan [n:Person] (9892 rows)</t>
  </si>
  <si>
    <t>total db hit:1446301
Profile statistics:
Produce Results (1 rows)
    Aggregate [count(*)] (1 rows)
        Expand(All) [n --&gt; m ,0.000000,0.015158] (713258 rows, 1436408 hits)
            Node By Label Scan [n:Person] (9892 rows)</t>
  </si>
  <si>
    <t>IC6</t>
  </si>
  <si>
    <t>MATCH (person:Person)-[:knows*..$num]-(friend:Person) with distinct friend match (friend:Person)&lt;-[:postHasCreator]-(post:Post)-[:postHasTag]-&gt;(t:Tag)
return count(*)</t>
  </si>
  <si>
    <t>total db hit:5026271
Profile statistics:
Produce Results (1 rows)
    Aggregate [count(*)] (1 rows)
        Apply (711775 rows)
            Expand(All) [post --&gt; t ] (711775 rows, 2373977 hits)
                Expand(All) [friend &lt;-- post ] (950427 rows, 1910017 hits)
                    Argument [friend] (9163 rows)
            Distinct (9163 rows)
                Project [friend] (361246 rows)
                    Variable Length Expand(All) [person --*1..1 friend]{
 node cnt:
  layer:0,count:0
  layer:1,count:352083
expand cnt:
  layer:0,count:361246
} (361246 rows, 732384 hits)
                        Node By Label Scan [person:Person] (9892 rows)</t>
  </si>
  <si>
    <t xml:space="preserve">total db hit:2174990
Profile statistics:
Produce Results (1 rows)
    Aggregate [count(*)] (1 rows)
        Apply (711775 rows)
            Expand(All) [friend --&gt; t ,0.000000,0.028079] (711775 rows, 1432713 hits)
                Argument [friend] (9163 rows)
            Distinct (9163 rows)
                Project [friend] (361246 rows)
                    Variable Length Expand(All) [person --*1..1 friend]{
 node cnt:
  layer:0,count:0
  layer:1,count:352083
expand cnt:
  layer:0,count:361246
} (361246 rows, 732384 hits)
                        Node By Label Scan [person:Person] (9892 rows)
</t>
  </si>
  <si>
    <t>IC12</t>
  </si>
  <si>
    <t>MATCH (:Person)-[:knows]-(friend:Person)&lt;-[:commentHasCreator]-(comment:Comment)-[:replyOf]-&gt;(:Post)-[:postHasTag]-&gt;(tag:Tag)
RETURN count(*)</t>
  </si>
  <si>
    <t>total db hit:2288398509
Profile statistics:
Produce Results (1 rows)
    Aggregate [count(*)] (1 rows)
        Expand(All) [@ANON_N4 --&gt; tag ] (465885573 rows, 1065959022 hits)
            Expand(All) [comment --&gt; @ANON_N4 ] (134187876 rows, 677761920 hits)
                Expand(All) [friend &lt;-- comment ] (271787022 rows, 543935290 hits)
                    Expand(All) [@ANON_N0 -- friend ] (361246 rows, 732384 hits)
                        Node By Label Scan [@ANON_N0:Person] (9892 rows)</t>
  </si>
  <si>
    <t>total db hit:1748235735
Profile statistics:
Produce Results (1 rows)
    Aggregate [count(*)] (1 rows)
        Expand(All) [comment --&gt; tag ,0.000000,8.290381] (465885573 rows, 1203558168 hits)
            Expand(All) [friend &lt;-- comment ,0.000000,4.863530] (271787022 rows, 543935290 hits)
                Expand(All) [@ANON_N0 -- friend ,0.000000,0.007422] (361246 rows, 732384 hits)
                    Node By Label Scan [@ANON_N0:Person] (9892 rows)</t>
  </si>
  <si>
    <t>IS2</t>
  </si>
  <si>
    <t>MATCH (message:Comment)-[:replyOf*..]-&gt;(post:Post)-[:postHasCreator]-&gt;(person)
RETURN count(*)</t>
  </si>
  <si>
    <t>total db hit:33981811
Profile statistics:
Produce Results (1 rows)
    Aggregate [count(*)] (1 rows)
        Expand(All) [post --&gt; person ] (2052169 rows, 6156507 hits)
            Variable Length Expand(All) [message --&gt;*1..128 post]{
 node cnt:
  layer:0,count:0
  layer:1,count:1478203
  layer:2,count:1478203
  layer:3,count:437454
  layer:4,count:91857
  layer:5,count:13860
  layer:6,count:1531
  layer:7,count:126
  layer:8,count:4
expand cnt:
  layer:0,count:5582541
  layer:1,count:3997155
  layer:2,count:1220505
  layer:3,count:261711
  layer:4,count:40049
  layer:5,count:4467
  layer:6,count:374
  layer:7,count:12
} (2052169 rows, 25773134 hits)
                Node By Label Scan [message:Comment] (2052169 rows)</t>
  </si>
  <si>
    <t>total db hit:14365184
Profile statistics:
Produce Results (1 rows)
    Aggregate [count(*)] (1 rows)
        Expand(All) [post --&gt; person ,0.000000,0.071540] (2052169 rows, 6156507 hits)
            Expand(All) [message --&gt; post ,0.000000,0.071197] (2052169 rows, 6156507 hits)
                Node By Label Scan [message:Comment] (2052169 rows)</t>
  </si>
  <si>
    <t>IS6</t>
  </si>
  <si>
    <t>MATCH (m:Comment)-[:replyOf*..]-&gt;(p:Post)&lt;-[:containerOf]-(f:Forum)-[:hasModerator]-&gt;(mod:Person)
RETURN count(*)</t>
  </si>
  <si>
    <t>total db hit:40138318
Profile statistics:
Produce Results (1 rows)
    Aggregate [count(*)] (1 rows)
        Expand(All) [f --&gt; mod ] (2052169 rows, 6156507 hits)
            Expand(All) [p &lt;-- f ] (2052169 rows, 6156507 hits)
                Variable Length Expand(All) [m --&gt;*1..128 p]{
 node cnt:
  layer:0,count:0
  layer:1,count:1478203
  layer:2,count:1478203
  layer:3,count:437454
  layer:4,count:91857
  layer:5,count:13860
  layer:6,count:1531
  layer:7,count:126
  layer:8,count:4
expand cnt:
  layer:0,count:5582541
  layer:1,count:3997155
  layer:2,count:1220505
  layer:3,count:261711
  layer:4,count:40049
  layer:5,count:4467
  layer:6,count:374
  layer:7,count:12
} (2052169 rows, 25773134 hits)
                    Node By Label Scan [m:Comment] (2052169 rows)</t>
  </si>
  <si>
    <t>total db hit:20521691
Profile statistics:
Produce Results (1 rows)
    Aggregate [count(*)] (1 rows)
        Expand(All) [f --&gt; mod ,0.000000,0.041199] (2052169 rows, 6156507 hits)
            Expand(All) [p &lt;-- f ,0.000000,0.036602] (2052169 rows, 6156507 hits)
                Expand(All) [m --&gt; p ,0.000000,0.036375] (2052169 rows, 6156507 hits)
                    Node By Label Scan [m:Comment] (2052169 rows)</t>
  </si>
  <si>
    <t>LSQB3</t>
  </si>
  <si>
    <t>MATCH (country:Place{id:$countryId})
MATCH (person1:Person)-[:personIsLocatedIn]-&gt;(city1:Place)-[:isPartOf]-&gt;(country)
MATCH (person2:Person)-[:personIsLocatedIn]-&gt;(city2:Place)-[:isPartOf]-&gt;(country)
MATCH (person3:Person)-[:personIsLocatedIn]-&gt;(city3:Place)-[:isPartOf]-&gt;(country)
RETURN count(*) AS count</t>
  </si>
  <si>
    <t>total db hit:68224963
Profile statistics:
Produce Results (1 rows)
    Aggregate [count] (1 rows)
        Expand(All) [city3 &lt;-- person3 ] (28372625 rows, 60466250 hits)
            Expand(All) [country &lt;-- city3 ] (3721000 rows, 7535025 hits)
                Expand(All) [city2 &lt;-- person2 ] (93025 rows, 198250 hits)
                    Expand(All) [country &lt;-- city2 ] (12200 rows, 24705 hits)
                        Expand(All) [city1 &lt;-- person1 ] (305 rows, 650 hits)
                            Expand(All) [country &lt;-- city1 ] (40 rows, 81 hits)
                                Node Index Seek [country] id IN [54,] (1 rows)</t>
  </si>
  <si>
    <t>total db hit:57025243
Profile statistics:
Produce Results (1 rows)
    Aggregate [count] (1 rows)
        Expand(All) [country &lt;-- person3 ,0.000000,0.489250] (28372625 rows, 56838275 hits)
            Expand(All) [country &lt;-- person2 ,0.000000,0.001643] (93025 rows, 186355 hits)
                Expand(All) [country &lt;-- person1 ,0.000000,0.000005] (305 rows, 611 hits)
                    Node Index Seek [country] id IN [54,] (1 rows)</t>
  </si>
  <si>
    <t>LSQB5</t>
  </si>
  <si>
    <t xml:space="preserve">MATCH (tag:Tag)&lt;-[:postHasTag]-(message:Post)&lt;-[:replyOf]-(comment:Comment) 
RETURN count(*) AS count
</t>
  </si>
  <si>
    <t>total db hit:9148761
Profile statistics:
Produce Results (1 rows)
    Aggregate [count] (1 rows)
        Expand(All) [message &lt;-- comment ] (3488413 rows, 7690084 hits)
            Expand(All) [tag &lt;-- message ] (713258 rows, 1442596 hits)
                Node By Label Scan [tag:Tag] (16080 rows)</t>
  </si>
  <si>
    <t>total db hit:7008987
Profile statistics:
Produce Results (1 rows)
    Aggregate [count] (1 rows)
        Expand(All) [tag &lt;-- comment ,0.000000,0.191803] (3488413 rows, 6992906 hits)
            Node By Label Scan [tag:Tag] (16080 rows)</t>
  </si>
  <si>
    <t>ID6</t>
  </si>
  <si>
    <t xml:space="preserve">MATCH (:Post {id: $postId})&lt;-[:replyOf*0..]-(message) 
DETACH DELETE message
</t>
  </si>
  <si>
    <t>delete 2 nodes, 19 edges
2 real nodes, 10 real edges
9 view edges(4 COMMENT_TAG, 4 PERSON_TAG, 1 ROOT_POST)</t>
  </si>
  <si>
    <t>ID7</t>
  </si>
  <si>
    <t xml:space="preserve">MATCH (:Comment {id: $commentId})&lt;-[:replyOf*0..]-(comment:Comment)
DETACH DELETE comment
</t>
  </si>
  <si>
    <t>delete 4 nodes, 19 edges
4 real nodes, 14 real edges
5 view edges(1 COMMENT_TAG, 4 ROOT_POST)</t>
  </si>
  <si>
    <t>IU7</t>
  </si>
  <si>
    <t xml:space="preserve">MATCH
  (author:Person {id: $authorPersonId}),
  (country:Place {id: $countryId}),
  (message:Post {id: $replyToPostId})
CREATE (author)&lt;-[:commentHasCreator{creationDate:$creationDate}]-(c:Comment {
    id: $commentId,
    creationDate: $creationDate,
    locationIP: $locationIP,
    browserUsed: $browserUsed,
    content: $content,
    length: $length,
    creator: $authorPersonId,
    place: $countryId
  })-[:replyOf{creationDate:$creationDate}]-&gt;(message),
  (c)-[:commentIsLocatedIn{creationDate:$creationDate}]-&gt;(country)
WITH c
UNWIND $tagIds AS tagId
  MATCH (t:Tag {id: tagId})
  CREATE (c)-[:commentHasTag]-&gt;(t)
</t>
  </si>
  <si>
    <t>create 1 node, 6 edges
1 real node, 4 real edges
2 view edges(1 COMMENT_TAG, 1 ROOT_POST)</t>
  </si>
  <si>
    <t>total time without views</t>
  </si>
  <si>
    <t>total time with views add view creation time</t>
  </si>
  <si>
    <t>total time with views</t>
  </si>
  <si>
    <t>Geometric mean speed-up ratio</t>
  </si>
  <si>
    <t>C14/D14</t>
  </si>
  <si>
    <t>workload speed-up ratio</t>
  </si>
  <si>
    <t>total db hit:37637781
Profile statistics:
Produce Results (1 rows)
    Aggregate [count(*)] (1 rows)
        Expand(All) [@ANON_N1 --&gt; m ] (7599701 rows, 22635098 hits)
            Expand(All) [n &lt;-- @ANON_N1 ] (7435696 rows, 14937037 hits)
                Node By Label Scan [n:Person] (65645 rows)</t>
  </si>
  <si>
    <t>total db hit:15330693
Profile statistics:
Produce Results (1 rows)
    Aggregate [count(*)] (1 rows)
        Expand(All) [n --&gt; m ,0.000000,0.134859] (7599701 rows, 15265047 hits)
            Node By Label Scan [n:Person] (65645 rows)</t>
  </si>
  <si>
    <t>total db hit:44692196
Profile statistics:
Produce Results (1 rows)
    Aggregate [count(*)] (1 rows)
        Apply (7595203 rows)
            Expand(All) [post --&gt; t ] (7595203 rows, 22375094 hits)
                Expand(All) [friend &lt;-- post ] (7184688 rows, 14431747 hits)
                    Argument [friend] (62371 rows)
            Distinct (62371 rows)
                Project [friend] (3877032 rows)
                    Variable Length Expand(All) [person --*1..1 friend]{
 node cnt:
  layer:0,count:0
  layer:1,count:3814661
expand cnt:
  layer:0,count:3877032
} (3877032 rows, 7819709 hits)
                        Node By Label Scan [person:Person] (65645 rows)</t>
  </si>
  <si>
    <t>total db hit:23138132
Profile statistics:
Produce Results (1 rows)
    Aggregate [count(*)] (1 rows)
        Apply (7595203 rows)
            Expand(All) [friend --&gt; t ,0.000000,0.262871] (7595203 rows, 15252777 hits)
                Argument [friend] (62371 rows)
            Distinct (62371 rows)
                Project [friend] (3877032 rows)
                    Variable Length Expand(All) [person --*1..1 friend]{
 node cnt:
  layer:0,count:0
  layer:1,count:3814661
expand cnt:
  layer:0,count:3877032
} (3877032 rows, 7819709 hits)
                        Node By Label Scan [person:Person] (65645 rows)</t>
  </si>
  <si>
    <t>total db hit:40432085865
Profile statistics:
Produce Results (1 rows)
    Aggregate [count(*)] (1 rows)
        Expand(All) [@ANON_N4 --&gt; tag ] (8231323715 rows, 18830790134 hits)
            Expand(All) [comment --&gt; @ANON_N4 ] (2368142704 rows, 11978838024 hits)
                Expand(All) [friend &lt;-- comment ] (4805347660 rows, 9614572352 hits)
                    Expand(All) [@ANON_N0 -- friend ] (3877032 rows, 7819709 hits)
                        Node By Label Scan [@ANON_N0:Person] (65645 rows)</t>
  </si>
  <si>
    <t>total db hit:30890452797
Profile statistics:
Produce Results (1 rows)
    Aggregate [count(*)] (1 rows)
        Expand(All) [comment --&gt; tag ,0.000000,144.110102] (8231323715 rows, 21267995090 hits)
            Expand(All) [friend &lt;-- comment ,0.000000,84.642154] (4805347660 rows, 9614572352 hits)
                Expand(All) [@ANON_N0 -- friend ,0.000000,0.076373] (3877032 rows, 7819709 hits)
                    Node By Label Scan [@ANON_N0:Person] (65645 rows)</t>
  </si>
  <si>
    <t>total db hit:361888218
Profile statistics:
Produce Results (1 rows)
    Aggregate [count(*)] (1 rows)
        Expand(All) [post --&gt; person ] (21865475 rows, 65596425 hits)
            Variable Length Expand(All) [message --&gt;*1..128 post]{
 node cnt:
  layer:0,count:0
  layer:1,count:15737556
  layer:2,count:15737556
  layer:3,count:4648183
  layer:4,count:968499
  layer:5,count:143938
  layer:6,count:15688
  layer:7,count:1278
  layer:8,count:81
  layer:9,count:6
expand cnt:
  layer:0,count:59468506
  layer:1,count:42564485
  layer:2,count:12976050
  layer:3,count:2761559
  layer:4,count:416126
  layer:5,count:45786
  layer:6,count:3753
  layer:7,count:237
  layer:8,count:18
} (21865475 rows, 274426317 hits)
                Node By Label Scan [message:Comment] (21865475 rows)</t>
  </si>
  <si>
    <t>total db hit:153058326
Profile statistics:
Produce Results (1 rows)
    Aggregate [count(*)] (1 rows)
        Expand(All) [post --&gt; person ,0.000000,0.884801] (21865475 rows, 65596425 hits)
            Expand(All) [message --&gt; post ,0.000000,0.884864] (21865475 rows, 65596425 hits)
                Node By Label Scan [message:Comment] (21865475 rows)</t>
  </si>
  <si>
    <t xml:space="preserve">total db hit:427484643
Profile statistics:
Produce Results (1 rows)
    Aggregate [count(*)] (1 rows)
        Expand(All) [f --&gt; mod ] (21865475 rows, 65596425 hits)
            Expand(All) [p &lt;-- f ] (21865475 rows, 65596425 hits)
                Variable Length Expand(All) [m --&gt;*1..128 p]{
 node cnt:
  layer:0,count:0
  layer:1,count:15737556
  layer:2,count:15737556
  layer:3,count:4648183
  layer:4,count:968499
  layer:5,count:143938
  layer:6,count:15688
  layer:7,count:1278
  layer:8,count:81
  layer:9,count:6
expand cnt:
  layer:0,count:59468506
  layer:1,count:42564485
  layer:2,count:12976050
  layer:3,count:2761559
  layer:4,count:416126
  layer:5,count:45786
  layer:6,count:3753
  layer:7,count:237
  layer:8,count:18
} (21865475 rows, 274426317 hits)
                    Node By Label Scan [m:Comment] (21865475 rows)
</t>
  </si>
  <si>
    <t>total db hit:218654751
Profile statistics:
Produce Results (1 rows)
    Aggregate [count(*)] (1 rows)
        Expand(All) [f --&gt; mod ,0.000000,0.509296] (21865475 rows, 65596425 hits)
            Expand(All) [p &lt;-- f ,0.000000,0.405335] (21865475 rows, 65596425 hits)
                Expand(All) [m --&gt; p ,0.000000,0.402684] (21865475 rows, 65596425 hits)
                    Node By Label Scan [m:Comment] (21865475 rows)</t>
  </si>
  <si>
    <t>total db hit:303613233
Profile statistics:
Produce Results (1 rows)
    Aggregate [count] (1 rows)
        Expand(All) [city3 &lt;-- person3 ] (147197952 rows, 297183744 hits)
            Expand(All) [country &lt;-- city3 ] (2787840 rows, 5854464 hits)
                Expand(All) [city2 &lt;-- person2 ] (278784 rows, 562848 hits)
                    Expand(All) [country &lt;-- city2 ] (5280 rows, 11088 hits)
                        Expand(All) [city1 &lt;-- person1 ] (528 rows, 1066 hits)
                            Expand(All) [country &lt;-- city1 ] (10 rows, 21 hits)
                                Node Index Seek [country] id IN [65,] (1 rows)</t>
  </si>
  <si>
    <t>total db hit:295233843
Profile statistics:
Produce Results (1 rows)
    Aggregate [count] (1 rows)
        Expand(All) [country &lt;-- person3 ,0.000000,2.545310] (147197952 rows, 294674688 hits)
            Expand(All) [country &lt;-- person2 ,0.000000,0.004951] (278784 rows, 558096 hits)
                Expand(All) [country &lt;-- person1 ,0.000000,0.000009] (528 rows, 1057 hits)
                    Node Index Seek [country] id IN [65,] (1 rows)</t>
  </si>
  <si>
    <t>total db hit:97400822
Profile statistics:
Produce Results (1 rows)
    Aggregate [count] (1 rows)
        Expand(All) [message &lt;-- comment ] (37284779 rows, 82169259 hits)
            Expand(All) [tag &lt;-- message ] (7599701 rows, 15215482 hits)
                Node By Label Scan [tag:Tag] (16080 rows)</t>
  </si>
  <si>
    <t>total db hit:74601719
Profile statistics:
Produce Results (1 rows)
    Aggregate [count] (1 rows)
        Expand(All) [tag &lt;-- comment ,0.000000,2.057430] (37284779 rows, 74585638 hits)
            Node By Label Scan [tag:Tag] (16080 rows)</t>
  </si>
  <si>
    <t>delete 2 nodes, 22 edges
2 real nodes, 11 real edges
11 view edges(5 COMMENT_TAG, 5 PERSON_TAG, 1 ROOT_POST)</t>
  </si>
  <si>
    <t>delete 2 nodes, 21 edges
2 real nodes, 19 real edges
2 view edges(2 ROOT_POST)</t>
  </si>
  <si>
    <t>create 1 node,5 edges
1 real node, 4 real edges
1 view edge(1 ROOT_POST)</t>
  </si>
  <si>
    <t>Neo4j version：v4.4.2
OS：Ubuntu 22.04.2 LTS
Memory：256GB
CPU：Intel Xeon Gold 6248R 24-core Processor * 2</t>
  </si>
  <si>
    <t>views</t>
  </si>
  <si>
    <t>dbhit ratio</t>
  </si>
  <si>
    <t>"AllDbHits": 3598451,
        "profile": {
            "operatorType": "ProduceResults@ldbcsf1",
            "Details": "`count(*)`",
            "dbHits": 0,
            "rows": 1,
            "children": [
                {
                    "operatorType": "EagerAggregation@ldbcsf1",
                    "Details": "count(*) AS `count(*)`",
                    "dbHits": 0,
                    "rows": 1,
                    "children": [
                        {
                            "operatorType": "Filter@ldbcsf1",
                            "Details": "n:Person",
                            "dbHits": 713258,
                            "rows": 713258,
                            "children": [
                                {
                                    "operatorType": "Expand(All)@ldbcsf1",
                                    "Details": "(anon_1)-[anon_0:postHasCreator]-&gt;(n)",
                                    "dbHits": 1426516,
                                    "rows": 713258,
                                    "children": [
                                        {
                                            "operatorType": "Filter@ldbcsf1",
                                            "Details": "anon_1:Post",
                                            "dbHits": 713258,
                                            "rows": 713258,
                                            "children": [
                                                {
                                                    "operatorType": "Expand(All)@ldbcsf1",
                                                    "Details": "(m)&lt;-[anon_2:postHasTag]-(anon_1)",
                                                    "dbHits": 729338,
                                                    "rows": 713258,
                                                    "children": [
                                                        {
                                                            "operatorType": "NodeByLabelScan@ldbcsf1",
                                                            "Details": "m:Tag",
                                                            "dbHits": 16081,
                                                            "rows": 16080,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</si>
  <si>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1446301,
        "profile": {
            "operatorType": "ProduceResults@ldbcsf1",
            "Details": "`count(*)`",
            "dbHits": 0,
            "rows": 1,
            "children": [
                {
                    "operatorType": "EagerAggregation@ldbcsf1",
                    "Details": "count(*) AS `count(*)`",
                    "dbHits": 0,
                    "rows": 1,
                    "children": [
                        {
                            "operatorType": "Filter@ldbcsf1",
                            "Details": "m:Tag",
                            "dbHits": 713258,
                            "rows": 713258,
                            "children": [
                                {
                                    "operatorType": "Expand(All)@ldbcsf1",
                                    "Details": "(n)-[ANON_PERSON_TAG0:PERSON_TAG]-&gt;(m)",
                                    "dbHits": 723150,
                                    "rows": 713258,
                                    "children": [
                                        {
                                            "operatorType": "NodeByLabelScan@ldbcsf1",
                                            "Details": "n:Person",
                                            "dbHits": 9893,
                                            "rows": 9892,
                                            "children": []
                                        }
                                    ]
                                }
                            ]
                        }
                    ]
                }
            ]
        }</t>
  </si>
  <si>
    <t>"AllDbHits": 5035434,
        "profile": {
            "operatorType": "ProduceResults@ldbcsf1",
            "Details": "`count(*)`",
            "dbHits": 0,
            "rows": 1,
            "children": [
                {
                    "operatorType": "EagerAggregation@ldbcsf1",
                    "Details": "count(*) AS `count(*)`",
                    "dbHits": 0,
                    "rows": 1,
                    "children": [
                        {
                            "operatorType": "Filter@ldbcsf1",
                            "Details": "t:Tag",
                            "dbHits": 711775,
                            "rows": 711775,
                            "children": [
                                {
                                    "operatorType": "Expand(All)@ldbcsf1",
                                    "Details": "(post)-[anon_2:postHasTag]-&gt;(t)",
                                    "dbHits": 1662202,
                                    "rows": 711775,
                                    "children": [
                                        {
                                            "operatorType": "Filter@ldbcsf1",
                                            "Details": "post:Post",
                                            "dbHits": 950427,
                                            "rows": 950427,
                                            "children": [
                                                {
                                                    "operatorType": "Expand(All)@ldbcsf1",
                                                    "Details": "(friend)&lt;-[anon_1:postHasCreator]-(post)",
                                                    "dbHits": 959590,
                                                    "rows": 950427,
                                                    "children": [
                                                        {
                                                            "operatorType": "Filter@ldbcsf1",
                                                            "Details": "friend:Person",
                                                            "dbHits": 9163,
                                                            "rows": 9163,
                                                            "children": [
                                                                {
                                                                    "operatorType": "Distinct@ldbcsf1",
                                                                    "Details": "friend",
                                                                    "dbHits": 0,
                                                                    "rows": 9163,
                                                                    "children": [
                                                                        {
                                                                            "operatorType": "Filter@ldbcsf1",
                                                                            "Details": "friend:Person",
                                                                            "dbHits": 361246,
                                                                            "rows": 361246,
                                                                            "children": [
                                                                                {
                                                                                    "operatorType": "VarLengthExpand(All)@ldbcsf1",
                                                                                    "Details": "(person)-[anon_0:knows]-(friend)",
                                                                                    "dbHits": 371138,
                                                                                    "rows": 361246,
                                                                                    "children": [
                                                                                        {
                                                                                            "operatorType": "NodeByLabelScan@ldbcsf1",
                                                                                            "Details": "person:Person",
                                                                                            "dbHits": 9893,
                                                                                            "rows": 9892,
                                                                                            "children": []
                                                                                        }
                                                                                    ]
                                                                                }
                                                                            ]
                                                                        }
                                                                    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</si>
  <si>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2184153,
        "profile": {
            "operatorType": "ProduceResults@ldbcsf1",
            "Details": "`count(*)`",
            "dbHits": 0,
            "rows": 1,
            "children": [
                {
                    "operatorType": "EagerAggregation@ldbcsf1",
                    "Details": "count(*) AS `count(*)`",
                    "dbHits": 0,
                    "rows": 1,
                    "children": [
                        {
                            "operatorType": "Filter@ldbcsf1",
                            "Details": "t:Tag",
                            "dbHits": 711775,
                            "rows": 711775,
                            "children": [
                                {
                                    "operatorType": "Expand(All)@ldbcsf1",
                                    "Details": "(friend)-[ANON_PERSON_TAG0:PERSON_TAG]-&gt;(t)",
                                    "dbHits": 720938,
                                    "rows": 711775,
                                    "children": [
                                        {
                                            "operatorType": "Filter@ldbcsf1",
                                            "Details": "friend:Person",
                                            "dbHits": 9163,
                                            "rows": 9163,
                                            "children": [
                                                {
                                                    "operatorType": "Distinct@ldbcsf1",
                                                    "Details": "friend",
                                                    "dbHits": 0,
                                                    "rows": 9163,
                                                    "children": [
                                                        {
                                                            "operatorType": "Filter@ldbcsf1",
                                                            "Details": "friend:Person",
                                                            "dbHits": 361246,
                                                            "rows": 361246,
                                                            "children": [
                                                                {
                                                                    "operatorType": "VarLengthExpand(All)@ldbcsf1",
                                                                    "Details": "(person)-[ANON_R0:knows]-(friend)",
                                                                    "dbHits": 371138,
                                                                    "rows": 361246,
                                                                    "children": [
                                                                        {
                                                                            "operatorType": "NodeByLabelScan@ldbcsf1",
                                                                            "Details": "person:Person",
                                                                            "dbHits": 9893,
                                                                            "rows": 9892,
                                                                            "children": []
                                                                        }
                                                                    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</si>
  <si>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16867864,
        "profile": {
            "operatorType": "ProduceResults@ldbcsf1",
            "Details": "`count(*)`",
            "dbHits": 0,
            "rows": 1,
            "children": [
                {
                    "operatorType": "EagerAggregation@ldbcsf1",
                    "Details": "count(*) AS `count(*)`",
                    "dbHits": 0,
                    "rows": 1,
                    "children": [
                        {
                            "operatorType": "NodeHashJoin@ldbcsf1",
                            "Details": "friend",
                            "dbHits": 0,
                            "rows": 465885573,
                            "children": [
                                {
                                    "operatorType": "Filter@ldbcsf1",
                                    "Details": "friend:Person",
                                    "dbHits": 361246,
                                    "rows": 361246,
                                    "children": [
                                        {
                                            "operatorType": "Expand(All)@ldbcsf1",
                                            "Details": "(anon_0)-[anon_1:knows]-(friend)",
                                            "dbHits": 371138,
                                            "rows": 361246,
                                            "children": [
                                                {
                                                    "operatorType": "NodeByLabelScan@ldbcsf1",
                                                    "Details": "anon_0:Person",
                                                    "dbHits": 9893,
                                                    "rows": 9892,
                                                    "children": []
                                                }
                                            ]
                                        }
                                    ]
                                },
                                {
                                    "operatorType": "Expand(All)@ldbcsf1",
                                    "Details": "(comment)-[anon_2:commentHasCreator]-&gt;(friend)",
                                    "dbHits": 6976826,
                                    "rows": 3488413,
                                    "children": [
                                        {
                                            "operatorType": "Filter@ldbcsf1",
                                            "Details": "comment:Comment",
                                            "dbHits": 3488413,
                                            "rows": 3488413,
                                            "children": [
                                                {
                                                    "operatorType": "Expand(All)@ldbcsf1",
                                                    "Details": "(anon_4)&lt;-[anon_3:replyOf]-(comment)",
                                                    "dbHits": 4201671,
                                                    "rows": 3488413,
                                                    "children": [
                                                        {
                                                            "operatorType": "Filter@ldbcsf1",
                                                            "Details": "anon_4:Post",
                                                            "dbHits": 713258,
                                                            "rows": 713258,
                                                            "children": [
                                                                {
                                                                    "operatorType": "Expand(All)@ldbcsf1",
                                                                    "Details": "(tag)&lt;-[anon_5:postHasTag]-(anon_4)",
                                                                    "dbHits": 729338,
                                                                    "rows": 713258,
                                                                    "children": [
                                                                        {
                                                                            "operatorType": "NodeByLabelScan@ldbcsf1",
                                                                            "Details": "tag:Tag",
                                                                            "dbHits": 16081,
                                                                            "rows": 16080,
                                                                            "children": []
                                                                        }
                                                                    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</si>
  <si>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13895395,
        "profile": {
            "operatorType": "ProduceResults@ldbcsf1",
            "Details": "`count(*)`",
            "dbHits": 0,
            "rows": 1,
            "children": [
                {
                    "operatorType": "EagerAggregation@ldbcsf1",
                    "Details": "count(*) AS `count(*)`",
                    "dbHits": 0,
                    "rows": 1,
                    "children": [
                        {
                            "operatorType": "NodeHashJoin@ldbcsf1",
                            "Details": "friend",
                            "dbHits": 0,
                            "rows": 465885573,
                            "children": [
                                {
                                    "operatorType": "Filter@ldbcsf1",
                                    "Details": "friend:Person",
                                    "dbHits": 361246,
                                    "rows": 361246,
                                    "children": [
                                        {
                                            "operatorType": "Expand(All)@ldbcsf1",
                                            "Details": "(ANON_N0)-[ANON_R1:knows]-(friend)",
                                            "dbHits": 371138,
                                            "rows": 361246,
                                            "children": [
                                                {
                                                    "operatorType": "NodeByLabelScan@ldbcsf1",
                                                    "Details": "ANON_N0:Person",
                                                    "dbHits": 9893,
                                                    "rows": 9892,
                                                    "children": []
                                                }
                                            ]
                                        }
                                    ]
                                },
                                {
                                    "operatorType": "Filter@ldbcsf1",
                                    "Details": "tag:Tag",
                                    "dbHits": 3488413,
                                    "rows": 3488413,
                                    "children": [
                                        {
                                            "operatorType": "Expand(All)@ldbcsf1",
                                            "Details": "(comment)-[ANON_COMMENT_TAG0:COMMENT_TAG]-&gt;(tag)",
                                            "dbHits": 5540582,
                                            "rows": 3488413,
                                            "children": [
                                                {
                                                    "operatorType": "Filter@ldbcsf1",
                                                    "Details": "comment:Comment",
                                                    "dbHits": 2052169,
                                                    "rows": 2052169,
                                                    "children": [
                                                        {
                                                            "operatorType": "Expand(All)@ldbcsf1",
                                                            "Details": "(friend)&lt;-[ANON_R2:commentHasCreator]-(comment)",
                                                            "dbHits": 2062061,
                                                            "rows": 2052169,
                                                            "children": [
                                                                {
                                                                    "operatorType": "NodeByLabelScan@ldbcsf1",
                                                                    "Details": "friend:Person",
                                                                    "dbHits": 9893,
                                                                    "rows": 9892,
                                                                    "children": []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</si>
  <si>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10170928,
        "profile": {
            "operatorType": "ProduceResults@ldbcsf1",
            "Details": "`count(*)`",
            "dbHits": 0,
            "rows": 1,
            "children": [
                {
                    "operatorType": "EagerAggregation@ldbcsf1",
                    "Details": "count(*) AS `count(*)`",
                    "dbHits": 0,
                    "rows": 1,
                    "children": [
                        {
                            "operatorType": "Filter@ldbcsf1",
                            "Details": "message:Comment",
                            "dbHits": 2052169,
                            "rows": 2052169,
                            "children": [
                                {
                                    "operatorType": "VarLengthExpand(All)@ldbcsf1",
                                    "Details": "(post)&lt;-[anon_0:replyOf*]-(message)",
                                    "dbHits": 5107943,
                                    "rows": 2052169,
                                    "children": [
                                        {
                                            "operatorType": "Expand(All)@ldbcsf1",
                                            "Details": "(post)-[anon_1:postHasCreator]-&gt;(person)",
                                            "dbHits": 2007210,
                                            "rows": 1003605,
                                            "children": [
                                                {
                                                    "operatorType": "NodeByLabelScan@ldbcsf1",
                                                    "Details": "post:Post",
                                                    "dbHits": 1003606,
                                                    "rows": 1003605,
                                                    "children": []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</si>
  <si>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8118759,
        "profile": {
            "operatorType": "ProduceResults@ldbcsf1",
            "Details": "`count(*)`",
            "dbHits": 0,
            "rows": 1,
            "children": [
                {
                    "operatorType": "EagerAggregation@ldbcsf1",
                    "Details": "count(*) AS `count(*)`",
                    "dbHits": 0,
                    "rows": 1,
                    "children": [
                        {
                            "operatorType": "Filter@ldbcsf1",
                            "Details": "message:Comment",
                            "dbHits": 2052169,
                            "rows": 2052169,
                            "children": [
                                {
                                    "operatorType": "Expand(All)@ldbcsf1",
                                    "Details": "(post)&lt;-[ANON_ROOT_POST0:ROOT_POST]-(message)",
                                    "dbHits": 3055774,
                                    "rows": 2052169,
                                    "children": [
                                        {
                                            "operatorType": "Expand(All)@ldbcsf1",
                                            "Details": "(post)-[ANON_R1:postHasCreator]-&gt;(person)",
                                            "dbHits": 2007210,
                                            "rows": 1003605,
                                            "children": [
                                                {
                                                    "operatorType": "NodeByLabelScan@ldbcsf1",
                                                    "Details": "post:Post",
                                                    "dbHits": 1003606,
                                                    "rows": 1003605,
                                                    "children": []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</si>
  <si>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9458583,
        "profile": {
            "operatorType": "ProduceResults@ldbcsf1",
            "Details": "`count(*)`",
            "dbHits": 0,
            "rows": 1,
            "children": [
                {
                    "operatorType": "EagerAggregation@ldbcsf1",
                    "Details": "count(*) AS `count(*)`",
                    "dbHits": 0,
                    "rows": 1,
                    "children": [
                        {
                            "operatorType": "Filter@ldbcsf1",
                            "Details": "m:Comment",
                            "dbHits": 2052169,
                            "rows": 2052169,
                            "children": [
                                {
                                    "operatorType": "VarLengthExpand(All)@ldbcsf1",
                                    "Details": "(p)&lt;-[anon_0:replyOf*]-(m)",
                                    "dbHits": 5107943,
                                    "rows": 2052169,
                                    "children": [
                                        {
                                            "operatorType": "Filter@ldbcsf1",
                                            "Details": "p:Post",
                                            "dbHits": 1003605,
                                            "rows": 1003605,
                                            "children": [
                                                {
                                                    "operatorType": "Expand(All)@ldbcsf1",
                                                    "Details": "(f)-[anon_1:containerOf]-&gt;(p)",
                                                    "dbHits": 1094097,
                                                    "rows": 1003605,
                                                    "children": [
                                                        {
                                                            "operatorType": "Filter@ldbcsf1",
                                                            "Details": "f:Forum",
                                                            "dbHits": 90492,
                                                            "rows": 90492,
                                                            "children": [
                                                                {
                                                                    "operatorType": "Expand(All)@ldbcsf1",
                                                                    "Details": "(mod)&lt;-[anon_2:hasModerator]-(f)",
                                                                    "dbHits": 100384,
                                                                    "rows": 90492,
                                                                    "children": [
                                                                        {
                                                                            "operatorType": "NodeByLabelScan@ldbcsf1",
                                                                            "Details": "mod:Person",
                                                                            "dbHits": 9893,
                                                                            "rows": 9892,
                                                                            "children": []
                                                                        }
                                                                    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</si>
  <si>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7406414,
        "profile": {
            "operatorType": "ProduceResults@ldbcsf1",
            "Details": "`count(*)`",
            "dbHits": 0,
            "rows": 1,
            "children": [
                {
                    "operatorType": "EagerAggregation@ldbcsf1",
                    "Details": "count(*) AS `count(*)`",
                    "dbHits": 0,
                    "rows": 1,
                    "children": [
                        {
                            "operatorType": "Filter@ldbcsf1",
                            "Details": "m:Comment",
                            "dbHits": 2052169,
                            "rows": 2052169,
                            "children": [
                                {
                                    "operatorType": "Expand(All)@ldbcsf1",
                                    "Details": "(p)&lt;-[ANON_ROOT_POST0:ROOT_POST]-(m)",
                                    "dbHits": 3055774,
                                    "rows": 2052169,
                                    "children": [
                                        {
                                            "operatorType": "Filter@ldbcsf1",
                                            "Details": "p:Post",
                                            "dbHits": 1003605,
                                            "rows": 1003605,
                                            "children": [
                                                {
                                                    "operatorType": "Expand(All)@ldbcsf1",
                                                    "Details": "(f)-[ANON_R1:containerOf]-&gt;(p)",
                                                    "dbHits": 1094097,
                                                    "rows": 1003605,
                                                    "children": [
                                                        {
                                                            "operatorType": "Filter@ldbcsf1",
                                                            "Details": "f:Forum",
                                                            "dbHits": 90492,
                                                            "rows": 90492,
                                                            "children": [
                                                                {
                                                                    "operatorType": "Expand(All)@ldbcsf1",
                                                                    "Details": "(mod)&lt;-[ANON_R2:hasModerator]-(f)",
                                                                    "dbHits": 100384,
                                                                    "rows": 90492,
                                                                    "children": [
                                                                        {
                                                                            "operatorType": "NodeByLabelScan@ldbcsf1",
                                                                            "Details": "mod:Person",
                                                                            "dbHits": 9893,
                                                                            "rows": 9892,
                                                                            "children": []
                                                                        }
                                                                    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</si>
  <si>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2199,
        "profile": {
            "operatorType": "ProduceResults@ldbcsf1",
            "Details": "count",
            "dbHits": 0,
            "rows": 1,
            "children": [
                {
                    "operatorType": "EagerAggregation@ldbcsf1",
                    "Details": "count(*) AS count",
                    "dbHits": 0,
                    "rows": 1,
                    "children": [
                        {
                            "operatorType": "NodeHashJoin@ldbcsf1",
                            "Details": "country",
                            "dbHits": 0,
                            "rows": 28372625,
                            "children": [
                                {
                                    "operatorType": "Filter@ldbcsf1",
                                    "Details": "person3:Person",
                                    "dbHits": 305,
                                    "rows": 305,
                                    "children": [
                                        {
                                            "operatorType": "Expand(All)@ldbcsf1",
                                            "Details": "(city3)&lt;-[anon_4:personIsLocatedIn]-(person3)",
                                            "dbHits": 345,
                                            "rows": 305,
                                            "children": [
                                                {
                                                    "operatorType": "Filter@ldbcsf1",
                                                    "Details": "city3:Place",
                                                    "dbHits": 40,
                                                    "rows": 40,
                                                    "children": [
                                                        {
                                                            "operatorType": "Expand(All)@ldbcsf1",
                                                            "Details": "(country)&lt;-[anon_5:isPartOf]-(city3)",
                                                            "dbHits": 41,
                                                            "rows": 40,
                                                            "children": [
                                                                {
                                                                    "operatorType": "NodeUniqueIndexSeek@ldbcsf1",
                                                                    "Details": "UNIQUE country:Place(id) WHERE id = $autostring_0",
                                                                    "dbHits": 2,
                                                                    "rows": 1,
                                                                    "children": []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},
                                {
                                    "operatorType": "NodeHashJoin@ldbcsf1",
                                    "Details": "country",
                                    "dbHits": 0,
                                    "rows": 93025,
                                    "children": [
                                        {
                                            "operatorType": "Filter@ldbcsf1",
                                            "Details": "person2:Person",
                                            "dbHits": 305,
                                            "rows": 305,
                                            "children": [
                                                {
                                                    "operatorType": "Expand(All)@ldbcsf1",
                                                    "Details": "(city2)&lt;-[anon_2:personIsLocatedIn]-(person2)",
                                                    "dbHits": 345,
                                                    "rows": 305,
                                                    "children": [
                                                        {
                                                            "operatorType": "Filter@ldbcsf1",
                                                            "Details": "city2:Place",
                                                            "dbHits": 40,
                                                            "rows": 40,
                                                            "children": [
                                                                {
                                                                    "operatorType": "Expand(All)@ldbcsf1",
                                                                    "Details": "(country)&lt;-[anon_3:isPartOf]-(city2)",
                                                                    "dbHits": 41,
                                                                    "rows": 40,
                                                                    "children": [
                                                                        {
                                                                            "operatorType": "NodeUniqueIndexSeek@ldbcsf1",
                                                                            "Details": "UNIQUE country:Place(id) WHERE id = $autostring_0",
                                                                            "dbHits": 2,
                                                                            "rows": 1,
                                                                            "children": []
                                                                        }
                                                                    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},
                                        {
                                            "operatorType": "Filter@ldbcsf1",
                                            "Details": "person1:Person",
                                            "dbHits": 305,
                                            "rows": 305,
                                            "children": [
                                                {
                                                    "operatorType": "Expand(All)@ldbcsf1",
                                                    "Details": "(city1)&lt;-[anon_0:personIsLocatedIn]-(person1)",
                                                    "dbHits": 345,
                                                    "rows": 305,
                                                    "children": [
                                                        {
                                                            "operatorType": "Filter@ldbcsf1",
                                                            "Details": "city1:Place",
                                                            "dbHits": 40,
                                                            "rows": 40,
                                                            "children": [
                                                                {
                                                                    "operatorType": "Expand(All)@ldbcsf1",
                                                                    "Details": "(country)&lt;-[anon_1:isPartOf]-(city1)",
                                                                    "dbHits": 41,
                                                                    "rows": 40,
                                                                    "children": [
                                                                        {
                                                                            "operatorType": "NodeUniqueIndexSeek@ldbcsf1",
                                                                            "Details": "UNIQUE country:Place(id) WHERE id = $autostring_0",
                                                                            "dbHits": 2,
                                                                            "rows": 1,
                                                                            "children": []
                                                                        }
                                                                    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</si>
  <si>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1839,
        "profile": {
            "operatorType": "ProduceResults@ldbcsf1",
            "Details": "count",
            "dbHits": 0,
            "rows": 1,
            "children": [
                {
                    "operatorType": "EagerAggregation@ldbcsf1",
                    "Details": "count(*) AS count",
                    "dbHits": 0,
                    "rows": 1,
                    "children": [
                        {
                            "operatorType": "NodeHashJoin@ldbcsf1",
                            "Details": "country",
                            "dbHits": 0,
                            "rows": 28372625,
                            "children": [
                                {
                                    "operatorType": "Filter@ldbcsf1",
                                    "Details": "person3:Person",
                                    "dbHits": 305,
                                    "rows": 305,
                                    "children": [
                                        {
                                            "operatorType": "Expand(All)@ldbcsf1",
                                            "Details": "(country)&lt;-[ANON_PERSON_PLACE2:PERSON_PLACE]-(person3)",
                                            "dbHits": 306,
                                            "rows": 305,
                                            "children": [
                                                {
                                                    "operatorType": "NodeUniqueIndexSeek@ldbcsf1",
                                                    "Details": "UNIQUE country:Place(id) WHERE id = $autostring_0",
                                                    "dbHits": 2,
                                                    "rows": 1,
                                                    "children": []
                                                }
                                            ]
                                        }
                                    ]
                                },
                                {
                                    "operatorType": "NodeHashJoin@ldbcsf1",
                                    "Details": "country",
                                    "dbHits": 0,
                                    "rows": 93025,
                                    "children": [
                                        {
                                            "operatorType": "Filter@ldbcsf1",
                                            "Details": "person1:Person",
                                            "dbHits": 305,
                                            "rows": 305,
                                            "children": [
                                                {
                                                    "operatorType": "Expand(All)@ldbcsf1",
                                                    "Details": "(country)&lt;-[ANON_PERSON_PLACE0:PERSON_PLACE]-(person1)",
                                                    "dbHits": 306,
                                                    "rows": 305,
                                                    "children": [
                                                        {
                                                            "operatorType": "NodeUniqueIndexSeek@ldbcsf1",
                                                            "Details": "UNIQUE country:Place(id) WHERE id = $autostring_0",
                                                            "dbHits": 2,
                                                            "rows": 1,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},
                                        {
                                            "operatorType": "Filter@ldbcsf1",
                                            "Details": "person2:Person",
                                            "dbHits": 305,
                                            "rows": 305,
                                            "children": [
                                                {
                                                    "operatorType": "Expand(All)@ldbcsf1",
                                                    "Details": "(country)&lt;-[ANON_PERSON_PLACE1:PERSON_PLACE]-(person2)",
                                                    "dbHits": 306,
                                                    "rows": 305,
                                                    "children": [
                                                        {
                                                            "operatorType": "NodeUniqueIndexSeek@ldbcsf1",
                                                            "Details": "UNIQUE country:Place(id) WHERE id = $autostring_0",
                                                            "dbHits": 2,
                                                            "rows": 1,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</si>
  <si>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9148761,
        "profile": {
            "operatorType": "ProduceResults@ldbcsf1",
            "Details": "count",
            "dbHits": 0,
            "rows": 1,
            "children": [
                {
                    "operatorType": "EagerAggregation@ldbcsf1",
                    "Details": "count(*) AS count",
                    "dbHits": 0,
                    "rows": 1,
                    "children": [
                        {
                            "operatorType": "Filter@ldbcsf1",
                            "Details": "comment:Comment",
                            "dbHits": 3488413,
                            "rows": 3488413,
                            "children": [
                                {
                                    "operatorType": "Expand(All)@ldbcsf1",
                                    "Details": "(message)&lt;-[anon_1:replyOf]-(comment)",
                                    "dbHits": 4201671,
                                    "rows": 3488413,
                                    "children": [
                                        {
                                            "operatorType": "Filter@ldbcsf1",
                                            "Details": "message:Post",
                                            "dbHits": 713258,
                                            "rows": 713258,
                                            "children": [
                                                {
                                                    "operatorType": "Expand(All)@ldbcsf1",
                                                    "Details": "(tag)&lt;-[anon_0:postHasTag]-(message)",
                                                    "dbHits": 729338,
                                                    "rows": 713258,
                                                    "children": [
                                                        {
                                                            "operatorType": "NodeByLabelScan@ldbcsf1",
                                                            "Details": "tag:Tag",
                                                            "dbHits": 16081,
                                                            "rows": 16080,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</si>
  <si>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7008987,
        "profile": {
            "operatorType": "ProduceResults@ldbcsf1",
            "Details": "count",
            "dbHits": 0,
            "rows": 1,
            "children": [
                {
                    "operatorType": "EagerAggregation@ldbcsf1",
                    "Details": "count(*) AS count",
                    "dbHits": 0,
                    "rows": 1,
                    "children": [
                        {
                            "operatorType": "Filter@ldbcsf1",
                            "Details": "comment:Comment",
                            "dbHits": 3488413,
                            "rows": 3488413,
                            "children": [
                                {
                                    "operatorType": "Expand(All)@ldbcsf1",
                                    "Details": "(tag)&lt;-[ANON_COMMENT_TAG0:COMMENT_TAG]-(comment)",
                                    "dbHits": 3504493,
                                    "rows": 3488413,
                                    "children": [
                                        {
                                            "operatorType": "NodeByLabelScan@ldbcsf1",
                                            "Details": "tag:Tag",
                                            "dbHits": 16081,
                                            "rows": 16080,
                                            "children": []
                                        }
                                    ]
                                }
                            ]
                        }
                    ]
                }
            ]
        }</t>
  </si>
  <si>
    <t>"AllDbHits": 37637781,
        "profile": {
            "operatorType": "ProduceResults@ldbcsf10",
            "Details": "`count(*)`",
            "dbHits": 0,
            "rows": 1,
            "children": [
                {
                    "operatorType": "EagerAggregation@ldbcsf10",
                    "Details": "count(*) AS `count(*)`",
                    "dbHits": 0,
                    "rows": 1,
                    "children": [
                        {
                            "operatorType": "Filter@ldbcsf10",
                            "Details": "m:Tag",
                            "dbHits": 7599701,
                            "rows": 7599701,
                            "children": [
                                {
                                    "operatorType": "Expand(All)@ldbcsf10",
                                    "Details": "(anon_1)-[anon_2:postHasTag]-&gt;(m)",
                                    "dbHits": 15035397,
                                    "rows": 7599701,
                                    "children": [
                                        {
                                            "operatorType": "Filter@ldbcsf10",
                                            "Details": "anon_1:Post",
                                            "dbHits": 7435696,
                                            "rows": 7435696,
                                            "children": [
                                                {
                                                    "operatorType": "Expand(All)@ldbcsf10",
                                                    "Details": "(n)&lt;-[anon_0:postHasCreator]-(anon_1)",
                                                    "dbHits": 7501341,
                                                    "rows": 7435696,
                                                    "children": [
                                                        {
                                                            "operatorType": "NodeByLabelScan@ldbcsf10",
                                                            "Details": "n:Person",
                                                            "dbHits": 65646,
                                                            "rows": 65645,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</si>
  <si>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15231563,
        "profile": {
            "operatorType": "ProduceResults@ldbcsf10",
            "Details": "`count(*)`",
            "dbHits": 0,
            "rows": 1,
            "children": [
                {
                    "operatorType": "EagerAggregation@ldbcsf10",
                    "Details": "count(*) AS `count(*)`",
                    "dbHits": 0,
                    "rows": 1,
                    "children": [
                        {
                            "operatorType": "Filter@ldbcsf10",
                            "Details": "n:Person",
                            "dbHits": 7599701,
                            "rows": 7599701,
                            "children": [
                                {
                                    "operatorType": "Expand(All)@ldbcsf10",
                                    "Details": "(m)&lt;-[ANON_PERSON_TAG0:PERSON_TAG]-(n)",
                                    "dbHits": 7615781,
                                    "rows": 7599701,
                                    "children": [
                                        {
                                            "operatorType": "NodeByLabelScan@ldbcsf10",
                                            "Details": "m:Tag",
                                            "dbHits": 16081,
                                            "rows": 16080,
                                            "children": []
                                        }
                                    ]
                                }
                            ]
                        }
                    ]
                }
            ]
        }</t>
  </si>
  <si>
    <t xml:space="preserve">        "AllDbHits": 461812722,
        "profile": {
            "operatorType": "ProduceResults@ldbcsf1",
            "Details": "`count(n2)`",
            "dbHits": 0,
            "rows": 1,
            "children": [
                {
                    "operatorType": "EagerAggregation@ldbcsf1",
                    "Details": "count(n2) AS `count(n2)`",
                    "dbHits": 0,
                    "rows": 1,
                    "children": [
                        {
                            "operatorType": "Filter@ldbcsf1",
                            "Details": "n2:Comment",
                            "dbHits": 147715000,
                            "rows": 57428000,
                            "children": [
                                {
                                    "operatorType": "VarLengthExpand(All)@ldbcsf1",
                                    "Details": "(n0)&lt;-[r2*2..2]-(n2)",
                                    "dbHits": 314094400,
                                    "rows": 147715000,
                                    "children": [
                                        {
                                            "operatorType": "Filter@ldbcsf1",
                                            "Details": "n1:Place",
                                            "dbHits": 200,
                                            "rows": 200,
                                            "children": [
                                                {
                                                    "operatorType": "Expand(All)@ldbcsf1",
                                                    "Details": "(n0)&lt;-[r1:isPartOf]-(n1)",
                                                    "dbHits": 201,
                                                    "rows": 200,
                                                    "children": [
                                                        {
                                                            "operatorType": "Filter@ldbcsf1",
                                                            "Details": "n0.name = $autostring_0",
                                                            "dbHits": 1460,
                                                            "rows": 1,
                                                            "children": [
                                                                {
                                                                    "operatorType": "NodeByLabelScan@ldbcsf1",
                                                                    "Details": "n0:Place",
                                                                    "dbHits": 1461,
                                                                    "rows": 1460,
                                                                    "children": []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</t>
  </si>
  <si>
    <t>"AllDbHits": 23200503,
        "profile": {
            "operatorType": "ProduceResults@ldbcsf10",
            "Details": "`count(*)`",
            "dbHits": 0,
            "rows": 1,
            "children": [
                {
                    "operatorType": "EagerAggregation@ldbcsf10",
                    "Details": "count(*) AS `count(*)`",
                    "dbHits": 0,
                    "rows": 1,
                    "children": [
                        {
                            "operatorType": "Filter@ldbcsf10",
                            "Details": "t:Tag",
                            "dbHits": 7595203,
                            "rows": 7595203,
                            "children": [
                                {
                                    "operatorType": "Expand(All)@ldbcsf10",
                                    "Details": "(friend)-[ANON_PERSON_TAG0:PERSON_TAG]-&gt;(t)",
                                    "dbHits": 7657574,
                                    "rows": 7595203,
                                    "children": [
                                        {
                                            "operatorType": "Filter@ldbcsf10",
                                            "Details": "friend:Person",
                                            "dbHits": 62371,
                                            "rows": 62371,
                                            "children": [
                                                {
                                                    "operatorType": "Distinct@ldbcsf10",
                                                    "Details": "friend",
                                                    "dbHits": 0,
                                                    "rows": 62371,
                                                    "children": [
                                                        {
                                                            "operatorType": "Filter@ldbcsf10",
                                                            "Details": "friend:Person",
                                                            "dbHits": 3877032,
                                                            "rows": 3877032,
                                                            "children": [
                                                                {
                                                                    "operatorType": "VarLengthExpand(All)@ldbcsf10",
                                                                    "Details": "(person)-[ANON_R0:knows]-(friend)",
                                                                    "dbHits": 3942677,
                                                                    "rows": 3877032,
                                                                    "children": [
                                                                        {
                                                                            "operatorType": "NodeByLabelScan@ldbcsf10",
                                                                            "Details": "person:Person",
                                                                            "dbHits": 65646,
                                                                            "rows": 65645,
                                                                            "children": []
                                                                        }
                                                                    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</si>
  <si>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179855735,
        "profile": {
            "operatorType": "ProduceResults@ldbcsf10",
            "Details": "`count(*)`",
            "dbHits": 0,
            "rows": 1,
            "children": [
                {
                    "operatorType": "EagerAggregation@ldbcsf10",
                    "Details": "count(*) AS `count(*)`",
                    "dbHits": 0,
                    "rows": 1,
                    "children": [
                        {
                            "operatorType": "NodeHashJoin@ldbcsf10",
                            "Details": "friend",
                            "dbHits": 0,
                            "rows": 8231323715,
                            "children": [
                                {
                                    "operatorType": "Filter@ldbcsf10",
                                    "Details": "friend:Person",
                                    "dbHits": 3877032,
                                    "rows": 3877032,
                                    "children": [
                                        {
                                            "operatorType": "Expand(All)@ldbcsf10",
                                            "Details": "(anon_0)-[anon_1:knows]-(friend)",
                                            "dbHits": 3942677,
                                            "rows": 3877032,
                                            "children": [
                                                {
                                                    "operatorType": "NodeByLabelScan@ldbcsf10",
                                                    "Details": "anon_0:Person",
                                                    "dbHits": 65646,
                                                    "rows": 65645,
                                                    "children": []
                                                }
                                            ]
                                        }
                                    ]
                                },
                                {
                                    "operatorType": "Expand(All)@ldbcsf10",
                                    "Details": "(comment)-[anon_2:commentHasCreator]-&gt;(friend)",
                                    "dbHits": 74569558,
                                    "rows": 37284779,
                                    "children": [
                                        {
                                            "operatorType": "Filter@ldbcsf10",
                                            "Details": "comment:Comment",
                                            "dbHits": 37284779,
                                            "rows": 37284779,
                                            "children": [
                                                {
                                                    "operatorType": "Expand(All)@ldbcsf10",
                                                    "Details": "(anon_4)&lt;-[anon_3:replyOf]-(comment)",
                                                    "dbHits": 44884480,
                                                    "rows": 37284779,
                                                    "children": [
                                                        {
                                                            "operatorType": "Filter@ldbcsf10",
                                                            "Details": "anon_4:Post",
                                                            "dbHits": 7599701,
                                                            "rows": 7599701,
                                                            "children": [
                                                                {
                                                                    "operatorType": "Expand(All)@ldbcsf10",
                                                                    "Details": "(tag)&lt;-[anon_5:postHasTag]-(anon_4)",
                                                                    "dbHits": 7615781,
                                                                    "rows": 7599701,
                                                                    "children": [
                                                                        {
                                                                            "operatorType": "NodeByLabelScan@ldbcsf10",
                                                                            "Details": "tag:Tag",
                                                                            "dbHits": 16081,
                                                                            "rows": 16080,
                                                                            "children": []
                                                                        }
                                                                    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</si>
  <si>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148182619,
        "profile": {
            "operatorType": "ProduceResults@ldbcsf10",
            "Details": "`count(*)`",
            "dbHits": 0,
            "rows": 1,
            "children": [
                {
                    "operatorType": "EagerAggregation@ldbcsf10",
                    "Details": "count(*) AS `count(*)`",
                    "dbHits": 0,
                    "rows": 1,
                    "children": [
                        {
                            "operatorType": "NodeHashJoin@ldbcsf10",
                            "Details": "friend",
                            "dbHits": 0,
                            "rows": 8231322665,
                            "children": [
                                {
                                    "operatorType": "Filter@ldbcsf10",
                                    "Details": "friend:Person",
                                    "dbHits": 3877032,
                                    "rows": 3877032,
                                    "children": [
                                        {
                                            "operatorType": "Expand(All)@ldbcsf10",
                                            "Details": "(ANON_N0)-[ANON_R1:knows]-(friend)",
                                            "dbHits": 3942677,
                                            "rows": 3877032,
                                            "children": [
                                                {
                                                    "operatorType": "NodeByLabelScan@ldbcsf10",
                                                    "Details": "ANON_N0:Person",
                                                    "dbHits": 65646,
                                                    "rows": 65645,
                                                    "children": []
                                                }
                                            ]
                                        }
                                    ]
                                },
                                {
                                    "operatorType": "Filter@ldbcsf10",
                                    "Details": "tag:Tag",
                                    "dbHits": 37284774,
                                    "rows": 37284774,
                                    "children": [
                                        {
                                            "operatorType": "Expand(All)@ldbcsf10",
                                            "Details": "(comment)-[ANON_COMMENT_TAG0:COMMENT_TAG]-&gt;(tag)",
                                            "dbHits": 59150249,
                                            "rows": 37284774,
                                            "children": [
                                                {
                                                    "operatorType": "Filter@ldbcsf10",
                                                    "Details": "comment:Comment",
                                                    "dbHits": 21865475,
                                                    "rows": 21865475,
                                                    "children": [
                                                        {
                                                            "operatorType": "Expand(All)@ldbcsf10",
                                                            "Details": "(friend)&lt;-[ANON_R2:commentHasCreator]-(comment)",
                                                            "dbHits": 21931120,
                                                            "rows": 21865475,
                                                            "children": [
                                                                {
                                                                    "operatorType": "NodeByLabelScan@ldbcsf10",
                                                                    "Details": "friend:Person",
                                                                    "dbHits": 65646,
                                                                    "rows": 65645,
                                                                    "children": []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</si>
  <si>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95339210,
        "profile": {
            "operatorType": "ProduceResults@ldbcsf10",
            "Details": "`count(*)`",
            "dbHits": 0,
            "rows": 1,
            "children": [
                {
                    "operatorType": "EagerAggregation@ldbcsf10",
                    "Details": "count(*) AS `count(*)`",
                    "dbHits": 0,
                    "rows": 1,
                    "children": [
                        {
                            "operatorType": "Filter@ldbcsf10",
                            "Details": "message:Comment",
                            "dbHits": 21865475,
                            "rows": 21865475,
                            "children": [
                                {
                                    "operatorType": "VarLengthExpand(All)@ldbcsf10",
                                    "Details": "(post)&lt;-[anon_0:replyOf*]-(message)",
                                    "dbHits": 51166646,
                                    "rows": 21865475,
                                    "children": [
                                        {
                                            "operatorType": "Expand(All)@ldbcsf10",
                                            "Details": "(post)-[anon_1:postHasCreator]-&gt;(person)",
                                            "dbHits": 14871392,
                                            "rows": 7435696,
                                            "children": [
                                                {
                                                    "operatorType": "NodeByLabelScan@ldbcsf10",
                                                    "Details": "post:Post",
                                                    "dbHits": 7435697,
                                                    "rows": 7435696,
                                                    "children": []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</si>
  <si>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73473735,
        "profile": {
            "operatorType": "ProduceResults@ldbcsf10",
            "Details": "`count(*)`",
            "dbHits": 0,
            "rows": 1,
            "children": [
                {
                    "operatorType": "EagerAggregation@ldbcsf10",
                    "Details": "count(*) AS `count(*)`",
                    "dbHits": 0,
                    "rows": 1,
                    "children": [
                        {
                            "operatorType": "Filter@ldbcsf10",
                            "Details": "message:Comment",
                            "dbHits": 21865475,
                            "rows": 21865475,
                            "children": [
                                {
                                    "operatorType": "Expand(All)@ldbcsf10",
                                    "Details": "(post)&lt;-[ANON_ROOT_POST0:ROOT_POST]-(message)",
                                    "dbHits": 29301171,
                                    "rows": 21865475,
                                    "children": [
                                        {
                                            "operatorType": "Expand(All)@ldbcsf10",
                                            "Details": "(post)-[ANON_R1:postHasCreator]-&gt;(person)",
                                            "dbHits": 14871392,
                                            "rows": 7435696,
                                            "children": [
                                                {
                                                    "operatorType": "NodeByLabelScan@ldbcsf10",
                                                    "Details": "post:Post",
                                                    "dbHits": 7435697,
                                                    "rows": 7435696,
                                                    "children": []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</si>
  <si>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89821163,
        "profile": {
            "operatorType": "ProduceResults@ldbcsf10",
            "Details": "`count(*)`",
            "dbHits": 0,
            "rows": 1,
            "children": [
                {
                    "operatorType": "EagerAggregation@ldbcsf10",
                    "Details": "count(*) AS `count(*)`",
                    "dbHits": 0,
                    "rows": 1,
                    "children": [
                        {
                            "operatorType": "Filter@ldbcsf10",
                            "Details": "m:Comment",
                            "dbHits": 21865475,
                            "rows": 21865475,
                            "children": [
                                {
                                    "operatorType": "VarLengthExpand(All)@ldbcsf10",
                                    "Details": "(p)&lt;-[anon_0:replyOf*]-(m)",
                                    "dbHits": 51166646,
                                    "rows": 21865475,
                                    "children": [
                                        {
                                            "operatorType": "Filter@ldbcsf10",
                                            "Details": "p:Post",
                                            "dbHits": 7435696,
                                            "rows": 7435696,
                                            "children": [
                                                {
                                                    "operatorType": "Expand(All)@ldbcsf10",
                                                    "Details": "(f)-[anon_1:containerOf]-&gt;(p)",
                                                    "dbHits": 8031149,
                                                    "rows": 7435696,
                                                    "children": [
                                                        {
                                                            "operatorType": "Filter@ldbcsf10",
                                                            "Details": "f:Forum",
                                                            "dbHits": 595453,
                                                            "rows": 595453,
                                                            "children": [
                                                                {
                                                                    "operatorType": "Expand(All)@ldbcsf10",
                                                                    "Details": "(mod)&lt;-[anon_2:hasModerator]-(f)",
                                                                    "dbHits": 661098,
                                                                    "rows": 595453,
                                                                    "children": [
                                                                        {
                                                                            "operatorType": "NodeByLabelScan@ldbcsf10",
                                                                            "Details": "mod:Person",
                                                                            "dbHits": 65646,
                                                                            "rows": 65645,
                                                                            "children": []
                                                                        }
                                                                    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</si>
  <si>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67955688,
        "profile": {
            "operatorType": "ProduceResults@ldbcsf10",
            "Details": "`count(*)`",
            "dbHits": 0,
            "rows": 1,
            "children": [
                {
                    "operatorType": "EagerAggregation@ldbcsf10",
                    "Details": "count(*) AS `count(*)`",
                    "dbHits": 0,
                    "rows": 1,
                    "children": [
                        {
                            "operatorType": "Filter@ldbcsf10",
                            "Details": "m:Comment",
                            "dbHits": 21865475,
                            "rows": 21865475,
                            "children": [
                                {
                                    "operatorType": "Expand(All)@ldbcsf10",
                                    "Details": "(p)&lt;-[ANON_ROOT_POST0:ROOT_POST]-(m)",
                                    "dbHits": 29301171,
                                    "rows": 21865475,
                                    "children": [
                                        {
                                            "operatorType": "Filter@ldbcsf10",
                                            "Details": "p:Post",
                                            "dbHits": 7435696,
                                            "rows": 7435696,
                                            "children": [
                                                {
                                                    "operatorType": "Expand(All)@ldbcsf10",
                                                    "Details": "(f)-[ANON_R1:containerOf]-&gt;(p)",
                                                    "dbHits": 8031149,
                                                    "rows": 7435696,
                                                    "children": [
                                                        {
                                                            "operatorType": "Filter@ldbcsf10",
                                                            "Details": "f:Forum",
                                                            "dbHits": 595453,
                                                            "rows": 595453,
                                                            "children": [
                                                                {
                                                                    "operatorType": "Expand(All)@ldbcsf10",
                                                                    "Details": "(mod)&lt;-[ANON_R2:hasModerator]-(f)",
                                                                    "dbHits": 661098,
                                                                    "rows": 595453,
                                                                    "children": [
                                                                        {
                                                                            "operatorType": "NodeByLabelScan@ldbcsf10",
                                                                            "Details": "mod:Person",
                                                                            "dbHits": 65646,
                                                                            "rows": 65645,
                                                                            "children": []
                                                                        }
                                                                    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</si>
  <si>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3267,
        "profile": {
            "operatorType": "ProduceResults@ldbcsf10",
            "Details": "count",
            "dbHits": 0,
            "rows": 1,
            "children": [
                {
                    "operatorType": "EagerAggregation@ldbcsf10",
                    "Details": "count(*) AS count",
                    "dbHits": 0,
                    "rows": 1,
                    "children": [
                        {
                            "operatorType": "NodeHashJoin@ldbcsf10",
                            "Details": "country",
                            "dbHits": 0,
                            "rows": 147197952,
                            "children": [
                                {
                                    "operatorType": "Filter@ldbcsf10",
                                    "Details": "person3:Person",
                                    "dbHits": 528,
                                    "rows": 528,
                                    "children": [
                                        {
                                            "operatorType": "Expand(All)@ldbcsf10",
                                            "Details": "(city3)&lt;-[anon_4:personIsLocatedIn]-(person3)",
                                            "dbHits": 538,
                                            "rows": 528,
                                            "children": [
                                                {
                                                    "operatorType": "Filter@ldbcsf10",
                                                    "Details": "city3:Place",
                                                    "dbHits": 10,
                                                    "rows": 10,
                                                    "children": [
                                                        {
                                                            "operatorType": "Expand(All)@ldbcsf10",
                                                            "Details": "(country)&lt;-[anon_5:isPartOf]-(city3)",
                                                            "dbHits": 11,
                                                            "rows": 10,
                                                            "children": [
                                                                {
                                                                    "operatorType": "NodeUniqueIndexSeek@ldbcsf10",
                                                                    "Details": "UNIQUE country:Place(id) WHERE id = $autostring_0",
                                                                    "dbHits": 2,
                                                                    "rows": 1,
                                                                    "children": []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},
                                {
                                    "operatorType": "NodeHashJoin@ldbcsf10",
                                    "Details": "country",
                                    "dbHits": 0,
                                    "rows": 278784,
                                    "children": [
                                        {
                                            "operatorType": "Filter@ldbcsf10",
                                            "Details": "person2:Person",
                                            "dbHits": 528,
                                            "rows": 528,
                                            "children": [
                                                {
                                                    "operatorType": "Expand(All)@ldbcsf10",
                                                    "Details": "(city2)&lt;-[anon_2:personIsLocatedIn]-(person2)",
                                                    "dbHits": 538,
                                                    "rows": 528,
                                                    "children": [
                                                        {
                                                            "operatorType": "Filter@ldbcsf10",
                                                            "Details": "city2:Place",
                                                            "dbHits": 10,
                                                            "rows": 10,
                                                            "children": [
                                                                {
                                                                    "operatorType": "Expand(All)@ldbcsf10",
                                                                    "Details": "(country)&lt;-[anon_3:isPartOf]-(city2)",
                                                                    "dbHits": 11,
                                                                    "rows": 10,
                                                                    "children": [
                                                                        {
                                                                            "operatorType": "NodeUniqueIndexSeek@ldbcsf10",
                                                                            "Details": "UNIQUE country:Place(id) WHERE id = $autostring_0",
                                                                            "dbHits": 2,
                                                                            "rows": 1,
                                                                            "children": []
                                                                        }
                                                                    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},
                                        {
                                            "operatorType": "Filter@ldbcsf10",
                                            "Details": "person1:Person",
                                            "dbHits": 528,
                                            "rows": 528,
                                            "children": [
                                                {
                                                    "operatorType": "Expand(All)@ldbcsf10",
                                                    "Details": "(city1)&lt;-[anon_0:personIsLocatedIn]-(person1)",
                                                    "dbHits": 538,
                                                    "rows": 528,
                                                    "children": [
                                                        {
                                                            "operatorType": "Filter@ldbcsf10",
                                                            "Details": "city1:Place",
                                                            "dbHits": 10,
                                                            "rows": 10,
                                                            "children": [
                                                                {
                                                                    "operatorType": "Expand(All)@ldbcsf10",
                                                                    "Details": "(country)&lt;-[anon_1:isPartOf]-(city1)",
                                                                    "dbHits": 11,
                                                                    "rows": 10,
                                                                    "children": [
                                                                        {
                                                                            "operatorType": "NodeUniqueIndexSeek@ldbcsf10",
                                                                            "Details": "UNIQUE country:Place(id) WHERE id = $autostring_0",
                                                                            "dbHits": 2,
                                                                            "rows": 1,
                                                                            "children": []
                                                                        }
                                                                    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</si>
  <si>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3177,
        "profile": {
            "operatorType": "ProduceResults@ldbcsf10",
            "Details": "count",
            "dbHits": 0,
            "rows": 1,
            "children": [
                {
                    "operatorType": "EagerAggregation@ldbcsf10",
                    "Details": "count(*) AS count",
                    "dbHits": 0,
                    "rows": 1,
                    "children": [
                        {
                            "operatorType": "NodeHashJoin@ldbcsf10",
                            "Details": "country",
                            "dbHits": 0,
                            "rows": 147197952,
                            "children": [
                                {
                                    "operatorType": "Filter@ldbcsf10",
                                    "Details": "person1:Person",
                                    "dbHits": 528,
                                    "rows": 528,
                                    "children": [
                                        {
                                            "operatorType": "Expand(All)@ldbcsf10",
                                            "Details": "(country)&lt;-[ANON_PERSON_PLACE0:PERSON_PLACE]-(person1)",
                                            "dbHits": 529,
                                            "rows": 528,
                                            "children": [
                                                {
                                                    "operatorType": "NodeUniqueIndexSeek@ldbcsf10",
                                                    "Details": "UNIQUE country:Place(id) WHERE id = $autostring_0",
                                                    "dbHits": 2,
                                                    "rows": 1,
                                                    "children": []
                                                }
                                            ]
                                        }
                                    ]
                                },
                                {
                                    "operatorType": "NodeHashJoin@ldbcsf10",
                                    "Details": "country",
                                    "dbHits": 0,
                                    "rows": 278784,
                                    "children": [
                                        {
                                            "operatorType": "Filter@ldbcsf10",
                                            "Details": "person2:Person",
                                            "dbHits": 528,
                                            "rows": 528,
                                            "children": [
                                                {
                                                    "operatorType": "Expand(All)@ldbcsf10",
                                                    "Details": "(country)&lt;-[ANON_PERSON_PLACE1:PERSON_PLACE]-(person2)",
                                                    "dbHits": 529,
                                                    "rows": 528,
                                                    "children": [
                                                        {
                                                            "operatorType": "NodeUniqueIndexSeek@ldbcsf10",
                                                            "Details": "UNIQUE country:Place(id) WHERE id = $autostring_0",
                                                            "dbHits": 2,
                                                            "rows": 1,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},
                                        {
                                            "operatorType": "Filter@ldbcsf10",
                                            "Details": "person3:Person",
                                            "dbHits": 528,
                                            "rows": 528,
                                            "children": [
                                                {
                                                    "operatorType": "Expand(All)@ldbcsf10",
                                                    "Details": "(country)&lt;-[ANON_PERSON_PLACE2:PERSON_PLACE]-(person3)",
                                                    "dbHits": 529,
                                                    "rows": 528,
                                                    "children": [
                                                        {
                                                            "operatorType": "NodeUniqueIndexSeek@ldbcsf10",
                                                            "Details": "UNIQUE country:Place(id) WHERE id = $autostring_0",
                                                            "dbHits": 2,
                                                            "rows": 1,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</si>
  <si>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97400822,
        "profile": {
            "operatorType": "ProduceResults@ldbcsf10",
            "Details": "count",
            "dbHits": 0,
            "rows": 1,
            "children": [
                {
                    "operatorType": "EagerAggregation@ldbcsf10",
                    "Details": "count(*) AS count",
                    "dbHits": 0,
                    "rows": 1,
                    "children": [
                        {
                            "operatorType": "Filter@ldbcsf10",
                            "Details": "comment:Comment",
                            "dbHits": 37284779,
                            "rows": 37284779,
                            "children": [
                                {
                                    "operatorType": "Expand(All)@ldbcsf10",
                                    "Details": "(message)&lt;-[anon_1:replyOf]-(comment)",
                                    "dbHits": 44884480,
                                    "rows": 37284779,
                                    "children": [
                                        {
                                            "operatorType": "Filter@ldbcsf10",
                                            "Details": "message:Post",
                                            "dbHits": 7599701,
                                            "rows": 7599701,
                                            "children": [
                                                {
                                                    "operatorType": "Expand(All)@ldbcsf10",
                                                    "Details": "(tag)&lt;-[anon_0:postHasTag]-(message)",
                                                    "dbHits": 7615781,
                                                    "rows": 7599701,
                                                    "children": [
                                                        {
                                                            "operatorType": "NodeByLabelScan@ldbcsf10",
                                                            "Details": "tag:Tag",
                                                            "dbHits": 16081,
                                                            "rows": 16080,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</t>
  </si>
  <si>
    <t>"AllDbHits": 74601709,
        "profile": {
            "operatorType": "ProduceResults@ldbcsf10",
            "Details": "count",
            "dbHits": 0,
            "rows": 1,
            "children": [
                {
                    "operatorType": "EagerAggregation@ldbcsf10",
                    "Details": "count(*) AS count",
                    "dbHits": 0,
                    "rows": 1,
                    "children": [
                        {
                            "operatorType": "Filter@ldbcsf10",
                            "Details": "comment:Comment",
                            "dbHits": 37284774,
                            "rows": 37284774,
                            "children": [
                                {
                                    "operatorType": "Expand(All)@ldbcsf10",
                                    "Details": "(tag)&lt;-[ANON_COMMENT_TAG0:COMMENT_TAG]-(comment)",
                                    "dbHits": 37300854,
                                    "rows": 37284774,
                                    "children": [
                                        {
                                            "operatorType": "NodeByLabelScan@ldbcsf10",
                                            "Details": "tag:Tag",
                                            "dbHits": 16081,
                                            "rows": 16080,
                                            "children": []
                                        }
                                    ]
                                }
                            ]
                        }
                    ]
                }
            ]
        }</t>
  </si>
  <si>
    <t>ldbcSf1</t>
  </si>
  <si>
    <t>Node</t>
  </si>
  <si>
    <t>Num</t>
  </si>
  <si>
    <t>Person</t>
  </si>
  <si>
    <t>Post</t>
  </si>
  <si>
    <t>Forum</t>
  </si>
  <si>
    <t>Comment</t>
  </si>
  <si>
    <t>Organisation</t>
  </si>
  <si>
    <t>Place</t>
  </si>
  <si>
    <t>Tag</t>
  </si>
  <si>
    <t>Tagclass</t>
  </si>
  <si>
    <t>Total</t>
  </si>
  <si>
    <t>Edge</t>
  </si>
  <si>
    <t>knows(Person-&gt;Person)</t>
  </si>
  <si>
    <t>likes(Person-&gt;Post)</t>
  </si>
  <si>
    <t>likes(Person-&gt;Comment)</t>
  </si>
  <si>
    <t>workAt(Person-&gt;Organisation)</t>
  </si>
  <si>
    <t>studyAt(Person-&gt;Organisation)</t>
  </si>
  <si>
    <t>personIsLocatedIn(Person-&gt;Place)</t>
  </si>
  <si>
    <t>hasInterest(Person-&gt;Tag)</t>
  </si>
  <si>
    <t>postHasCreator(Post-&gt;Person)</t>
  </si>
  <si>
    <t>postIsLocatedIn(Post-&gt;Place)</t>
  </si>
  <si>
    <t>postHasTag(Post-&gt;Tag)</t>
  </si>
  <si>
    <t>hasModerator(Forum-&gt;Person)</t>
  </si>
  <si>
    <t>hasMember(Forum-&gt;Person)</t>
  </si>
  <si>
    <t>containerOf(Forum-&gt;Post)</t>
  </si>
  <si>
    <t>forumHasTag(Forum-&gt;Tag)</t>
  </si>
  <si>
    <t>commentHasCreator(Comment-&gt;Person)</t>
  </si>
  <si>
    <t>commentIsLocatedIn(Comment-&gt;Place)</t>
  </si>
  <si>
    <t>commentHasTag(Comment-&gt;Tag)</t>
  </si>
  <si>
    <t>replyOf(Comment-&gt;Comment)</t>
  </si>
  <si>
    <t>replyOf(Comment-&gt;Post)</t>
  </si>
  <si>
    <t>organisationIsLocatedIn(Organisation-&gt;Place)</t>
  </si>
  <si>
    <t>isPartOf(Place-&gt;Place)</t>
  </si>
  <si>
    <t>hasType(Tag-&gt;Tagclass)</t>
  </si>
  <si>
    <t>isSubclassOf(Tagclass-&gt;Tagclass)</t>
  </si>
  <si>
    <t>Tugraph(SF1)</t>
  </si>
  <si>
    <t>delete num</t>
  </si>
  <si>
    <t>time wo views</t>
  </si>
  <si>
    <t>speed-up ratio</t>
  </si>
  <si>
    <t>original DB_Hit</t>
  </si>
  <si>
    <t>view maintenance DB_Hit</t>
  </si>
  <si>
    <t>DB_Hit(E/F)</t>
  </si>
  <si>
    <t>time of Edge Filter</t>
  </si>
  <si>
    <t>speed-up wo Edge Filter</t>
  </si>
  <si>
    <t>Neo4j(SF1)</t>
  </si>
  <si>
    <t>Tugraph(SF10)</t>
  </si>
  <si>
    <t>Neo4j(SF10)</t>
  </si>
  <si>
    <t>SF1</t>
  </si>
  <si>
    <t>Name</t>
  </si>
  <si>
    <t>Type</t>
  </si>
  <si>
    <t>G-View</t>
  </si>
  <si>
    <t>MV4PG</t>
  </si>
  <si>
    <t>Speed-Up</t>
  </si>
  <si>
    <t>Result</t>
  </si>
  <si>
    <t>COMMENT_TAG</t>
  </si>
  <si>
    <t>Create View</t>
  </si>
  <si>
    <t>PERSON_TAG</t>
  </si>
  <si>
    <t>Query</t>
  </si>
  <si>
    <t>Total:</t>
  </si>
  <si>
    <t>SF10</t>
  </si>
  <si>
    <t>PERSON_PLACE</t>
  </si>
  <si>
    <t>create view ACCOUNT_LOAN as (
    Construct (n)-[r:ACCOUNT_LOAN]-&gt;(m)
    match (n:Account)-[r1*..2]-&gt;(m:Loan)
)</t>
  </si>
  <si>
    <t>create view PERSON_COMPANY as (
    Construct (n)-[r:PERSON_COMPANY]-&gt;(m)
    match (n:Person)-[r1*2]-&gt;(m:Company)
)</t>
  </si>
  <si>
    <t>create view COMPANY_LOAN as (
    Construct (n)-[r:COMPANY_LOAN]-&gt;(m)
    match (n:Company)-[r1]-&gt;()-[r2]-&gt;(m:Loan)
)</t>
  </si>
  <si>
    <t>Q1</t>
  </si>
  <si>
    <t>match (n0:Person)-[r1*2]-&gt;(n1:Company)
match (n1)&lt;-[r2*2]-(n2:Person) where id(n0)&lt;&gt;id(n2) return count(n1)</t>
  </si>
  <si>
    <t>total db hit:208472173
Profile statistics:
Produce Results (1 rows)
    Aggregate [count(n1)] (1 rows)
        Filter [{n0 != n2}] (39631430 rows)
            Variable Length Expand(All) [n1 &lt;--*2..2 n2]{
            node cnt:
            layer:0,count:0
            layer:1,count:19385388
            layer:2,count:59778713
            expand cnt:
            layer:0,count:19385388
            layer:1,count:62643749
            } (39631430 rows, 164058274 hits)
                Variable Length Expand(All) [n0 --&gt;*2..2 n1]{
                node cnt:
                layer:0,count:0
                layer:1,count:3020920
                layer:2,count:18321361
                expand cnt:
                layer:0,count:3020920
                layer:1,count:18885353
                } (2865036 rows, 43831226 hits)
                    Node By Label Scan [n0:Person] (582672 rows)</t>
  </si>
  <si>
    <t>total db hit:89023313
Profile statistics:
Produce Results (1 rows)
    Aggregate [count(n1)] (1 rows)
        Filter [{n0 != n2}] (39631430 rows)
            Expand(All) [n1 &lt;-- n2 ] (39631430 rows, 82127896 hits)
                Expand(All) [n0 --&gt; n1 ] (2865036 rows, 6312744 hits)
                    Node By Label Scan [n0:Person] (582672 rows)</t>
  </si>
  <si>
    <t>Q2</t>
  </si>
  <si>
    <t>match (n0:Company)-[r1]-&gt;(n1)-[r2]-&gt;(n2:Loan)
match (n2)&lt;-[r3:repay]-(n3:Account) return count(n3)</t>
  </si>
  <si>
    <t>total db hit:30732613
Profile statistics:
Produce Results (1 rows)
    Aggregate [count(n3)] (1 rows)
        Expand(All) [n2 &lt;-- n3 ] (3614007 rows, 8670569 hits)
            Expand(All) [n1 --&gt; n2 ] (1442555 rows, 18460983 hits)
                Expand(All) [n0 --&gt; n1 ] (1509295 rows, 3309825 hits)
                    Node By Label Scan [n0:Company] (291235 rows)</t>
  </si>
  <si>
    <t>total db hit:12138150
Profile statistics:
Produce Results (1 rows)
    Aggregate [count(n3)] (1 rows)
        Expand(All) [n2 &lt;-- n3 ] (3614007 rows, 8670569 hits)
            Expand(All) [n0 --&gt; n2 ] (1442555 rows, 3176345 hits)
                Node By Label Scan [n0:Company] (291235 rows)</t>
  </si>
  <si>
    <t>Q3</t>
  </si>
  <si>
    <t>match (n0:Person)-[r1*2]-&gt;(n1:Company)
match (n0)-[r2:own]-&gt;(n2:Account) return count(n1)</t>
  </si>
  <si>
    <t>total db hit:57582873
Profile statistics:
Produce Results (1 rows)
    Aggregate [count(n1)] (1 rows)
        Expand(All) [n0 --&gt; n2 ] (5151969 rows, 13168974 hits)
            Variable Length Expand(All) [n0 --&gt;*2..2 n1]{
            node cnt:
            layer:0,count:0
            layer:1,count:3020920
            layer:2,count:18321361
            expand cnt:
            layer:0,count:3020920
            layer:1,count:18885353
            } (2865036 rows, 43831226 hits)
                Node By Label Scan [n0:Person] (582672 rows)</t>
  </si>
  <si>
    <t>total db hit:14538025
Profile statistics:
Produce Results (1 rows)
    Aggregate [count(n1)] (1 rows)
        Expand(All) [n0 --&gt; n1 ] (5151969 rows, 11326852 hits)
            Expand(All) [n0 --&gt; n2 ] (1022914 rows, 2628500 hits)
                Node By Label Scan [n0:Person] (582672 rows)</t>
  </si>
  <si>
    <t>Q4</t>
  </si>
  <si>
    <t>match (n0:Medium)-[r1:signIn]-&gt;(n1:Account)
match (n1)-[r2*..2]-&gt;(n2:Loan) return count(n2)</t>
  </si>
  <si>
    <t>total db hit:1026291636
Profile statistics:
Produce Results (1 rows)
    Aggregate [count(n2)] (1 rows)
        Variable Length Expand(All) [n1 --&gt;*1..2 n2]{
        node cnt:
        layer:0,count:0
        layer:1,count:96061522
        layer:2,count:390158936
        expand cnt:
        layer:0,count:105959850
        layer:1,count:395079397
        } (76828189 rows, 1012155571 hits)
            Expand(All) [n0 --&gt; n1 ] (5127913 rows, 12195945 hits)
                Node By Label Scan [n0:Medium] (1940119 rows)</t>
  </si>
  <si>
    <t>total db hit:172920356
Profile statistics:
Produce Results (1 rows)
    Aggregate [count(n2)] (1 rows)
        Expand(All) [n1 --&gt; n2 ] (76828189 rows, 158784291 hits)
            Expand(All) [n0 --&gt; n1 ] (5127913 rows, 12195945 hits)
                Node By Label Scan [n0:Medium] (1940119 rows)</t>
  </si>
  <si>
    <t>Q5</t>
  </si>
  <si>
    <t>match (n0:Loan)&lt;-[r1]-(n1)&lt;-[r2]-(n2:Company)
match (n2)&lt;-[r3*2]-(n3:Person) return count(n3)</t>
  </si>
  <si>
    <t>total db hit:152666680
Profile statistics:
Produce Results (1 rows)
    Aggregate [count(n3)] (1 rows)
        Variable Length Expand(All) [n2 &lt;--*2..2 n3]{
        node cnt:
        layer:0,count:0
        layer:1,count:8592488
        layer:2,count:22246641
        expand cnt:
        layer:0,count:8592488
        layer:1,count:23687150
        } (14601110 rows, 64561322 hits)
            Expand(All) [n1 &lt;-- n2 ] (1442555 rows, 80061305 hits)
                Expand(All) [n0 &lt;-- n1 ] (2993251 rows, 7015277 hits)
                    Node By Label Scan [n0:Loan] (1028775 rows)</t>
  </si>
  <si>
    <t>total db hit:35587436
Profile statistics:
Produce Results (1 rows)
    Aggregate [count(n3)] (1 rows)
        Expand(All) [n2 &lt;-- n3 ] (14601110 rows, 30644775 hits)
            Expand(All) [n0 &lt;-- n2 ] (1442555 rows, 3913885 hits)
                Node By Label Scan [n0:Loan] (1028775 rows)</t>
  </si>
  <si>
    <t>Q6</t>
  </si>
  <si>
    <t>match (n0:Account)&lt;-[r1:own]-(n1:Company)
match (n1)-[r2]-&gt;(n2)-[r3]-&gt;(n3:Loan) return count(n3)</t>
  </si>
  <si>
    <t>total db hit:51231377
Profile statistics:
Produce Results (1 rows)
    Aggregate [count(n3)] (1 rows)
        Expand(All) [n2 --&gt; n3 ] (2724147 rows, 39488266 hits)
            Expand(All) [n1 --&gt; n2 ] (3059019 rows, 6629304 hits)
                Expand(All) [n0 &lt;-- n1 ] (511266 rows, 3579626 hits)
                    Node By Label Scan [n0:Account] (1534180 rows)</t>
  </si>
  <si>
    <t>total db hit:11073367
Profile statistics:
Produce Results (1 rows)
    Aggregate [count(n3)] (1 rows)
        Expand(All) [n1 --&gt; n3 ] (2724147 rows, 5959560 hits)
            Expand(All) [n0 &lt;-- n1 ] (511266 rows, 3579626 hits)
                Node By Label Scan [n0:Account] (1534180 rows)</t>
  </si>
  <si>
    <t>Q7</t>
  </si>
  <si>
    <t>match (n0:Account)-[r1*..2]-&gt;(n1:Loan)
match (n1)&lt;-[r2]-(n2)&lt;-[r3]-(n3:Company) return count(n1)</t>
  </si>
  <si>
    <t>total db hit:14467856282
Profile statistics:
Produce Results (1 rows)
    Aggregate [count(n1)] (1 rows)
        Expand(All) [n2 &lt;-- n3 ] (39595119 rows, 13976385955 hits)
            Expand(All) [n1 &lt;-- n2 ] (91334462 rows, 204341860 hits)
                Variable Length Expand(All) [n0 --&gt;*1..2 n1]{
                node cnt:
                layer:0,count:0
                layer:1,count:26990280
                layer:2,count:109957005
                expand cnt:
                layer:0,count:29900716
                layer:1,count:111401728
                } (21672936 rows, 285594286 hits)
                    Node By Label Scan [n0:Account] (1534180 rows)</t>
  </si>
  <si>
    <t>total db hit:147277407
Profile statistics:
Produce Results (1 rows)
    Aggregate [count(n1)] (1 rows)
        Expand(All) [n1 &lt;-- n3 ] (39595119 rows, 100863174 hits)
            Expand(All) [n0 --&gt; n1 ] (21672936 rows, 44880052 hits)
                Node By Label Scan [n0:Account] (1534180 rows)</t>
  </si>
  <si>
    <t>Q8
(CE)</t>
  </si>
  <si>
    <t>MATCH (acc:Account {id: $accountId}), (loan: Loan {id: $loanId})
CREATE (acc)&lt;-[:deposit {timestamp: $depositTime, amount: $amt}]-(loan)</t>
  </si>
  <si>
    <t>create 9 edges
1 real edge
8 view edges(7 ACCOUNT_LOAN, 1 COMPANY_LOAN)</t>
  </si>
  <si>
    <t>Q9
(DE)</t>
  </si>
  <si>
    <t>MATCH (acc:Account {id: $accountId})-[r:repay]-&gt;(loan: Loan {id: $loanId}) where r.timestamp=$repayTime
delete r</t>
  </si>
  <si>
    <t>delete 8 edges
1 real edge
7 view edge(6 ACCOUNT_LOAN, 1 COMPANY_LOAN)</t>
  </si>
  <si>
    <t>Q10
(DV)</t>
  </si>
  <si>
    <t>MATCH (loan:Loan {id: $loanId})
DETACH DELETE loan</t>
  </si>
  <si>
    <t>delete 1 node,32 edges
1 real node, 6 real edges
26 view edges(20 ACCOUNT_LOAN, 6 COMPANY_LOAN)</t>
  </si>
  <si>
    <t>create view cypher: create view ACCOUNT_LOAN as (
    Construct (n)-[r:ACCOUNT_LOAN]-&gt;(m)
    match (n:Account)-[r1*..2]-&gt;(m:Loan)
)</t>
  </si>
  <si>
    <t>create view cypher: create view PERSON_COMPANY as (
    Construct (n)-[r:PERSON_COMPANY]-&gt;(m)
    match (n:Person)-[r1*2]-&gt;(m:Company)
)</t>
  </si>
  <si>
    <t>create view cypher: create view COMPANY_LOAN as (
    Construct (n)-[r:COMPANY_LOAN]-&gt;(m)
    match (n:Company)-[r1]-&gt;()-[r2]-&gt;(m:Loan)
)</t>
  </si>
  <si>
    <t>ALLDbHITS:25364998                                                                   "profile": {
            "operatorType": "ProduceResults@finbenchsf10",
            "Details": "`count(n1)`",
            "dbHits": 0,
            "rows": 1,
            "children": [
                {
                    "operatorType": "EagerAggregation@finbenchsf10",
                    "Details": "count(n1) AS `count(n1)`",
                    "dbHits": 0,
                    "rows": 1,
                    "children": [
                        {
                            "operatorType": "Filter@finbenchsf10",
                            "Details": "not id(n0) = id(n2)",
                            "dbHits": 0,
                            "rows": 36765446,
                            "children": [
                                {
                                    "operatorType": "NodeHashJoin@finbenchsf10",
                                    "Details": "n1",
                                    "dbHits": 0,
                                    "rows": 39631430,
                                    "children": [
                                        {
                                            "operatorType": "Filter@finbenchsf10",
                                            "Details": "n0:Person",
                                            "dbHits": 4366813,
                                            "rows": 2865036,
                                            "children": [
                                                {
                                                    "operatorType": "VarLengthExpand(All)@finbenchsf10",
                                                    "Details": "(n1)&lt;-[r1*2..2]-(n0)",
                                                    "dbHits": 8024450,
                                                    "rows": 4366813,
                                                    "children": [
                                                        {
                                                            "operatorType": "NodeByLabelScan@finbenchsf10",
                                                            "Details": "n1:Company",
                                                            "dbHits": 291236,
                                                            "rows": 291235,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},
                                        {
                                            "operatorType": "Filter@finbenchsf10",
                                            "Details": "n2:Person",
                                            "dbHits": 4366813,
                                            "rows": 2865036,
                                            "children": [
                                                {
                                                    "operatorType": "VarLengthExpand(All)@finbenchsf10",
                                                    "Details": "(n1)&lt;-[r2*2..2]-(n2)",
                                                    "dbHits": 8024450,
                                                    "rows": 4366813,
                                                    "children": [
                                                        {
                                                            "operatorType": "NodeByLabelScan@finbenchsf10",
                                                            "Details": "n1:Company",
                                                            "dbHits": 291236,
                                                            "rows": 291235,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},</t>
  </si>
  <si>
    <t xml:space="preserve">        "AllDbHits": 12625086,
        "profile": {
            "operatorType": "ProduceResults@finbenchsf10",
            "Details": "`count(n1)`",
            "dbHits": 0,
            "rows": 1,
            "children": [
                {
                    "operatorType": "EagerAggregation@finbenchsf10",
                    "Details": "count(n1) AS `count(n1)`",
                    "dbHits": 0,
                    "rows": 1,
                    "children": [
                        {
                            "operatorType": "Filter@finbenchsf10",
                            "Details": "not id(n0) = id(n2)",
                            "dbHits": 0,
                            "rows": 36765446,
                            "children": [
                                {
                                    "operatorType": "NodeHashJoin@finbenchsf10",
                                    "Details": "n1",
                                    "dbHits": 0,
                                    "rows": 39631430,
                                    "children": [
                                        {
                                            "operatorType": "Filter@finbenchsf10",
                                            "Details": "n0:Person",
                                            "dbHits": 2865036,
                                            "rows": 2865036,
                                            "children": [
                                                {
                                                    "operatorType": "Expand(All)@finbenchsf10",
                                                    "Details": "(n1)&lt;-[ANON_PERSON_COMPANY0:PERSON_COMPANY]-(n0)",
                                                    "dbHits": 3156271,
                                                    "rows": 2865036,
                                                    "children": [
                                                        {
                                                            "operatorType": "NodeByLabelScan@finbenchsf10",
                                                            "Details": "n1:Company",
                                                            "dbHits": 291236,
                                                            "rows": 291235,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},
                                        {
                                            "operatorType": "Filter@finbenchsf10",
                                            "Details": "n2:Person",
                                            "dbHits": 2865036,
                                            "rows": 2865036,
                                            "children": [
                                                {
                                                    "operatorType": "Expand(All)@finbenchsf10",
                                                    "Details": "(n1)&lt;-[ANON_PERSON_COMPANY1:PERSON_COMPANY]-(n2)",
                                                    "dbHits": 3156271,
                                                    "rows": 2865036,
                                                    "children": [
                                                        {
                                                            "operatorType": "NodeByLabelScan@finbenchsf10",
                                                            "Details": "n1:Company",
                                                            "dbHits": 291236,
                                                            "rows": 291235,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},</t>
  </si>
  <si>
    <t>AllDbhits:30372908                                                       "profile": {
            "operatorType": "ProduceResults@finbenchsf10",
            "Details": "`count(n3)`",
            "dbHits": 0,
            "rows": 1,
            "children": [
                {
                    "operatorType": "EagerAggregation@finbenchsf10",
                    "Details": "count(n3) AS `count(n3)`",
                    "dbHits": 0,
                    "rows": 1,
                    "children": [
                        {
                            "operatorType": "Filter@finbenchsf10",
                            "Details": "n3:Account",
                            "dbHits": 3614007,
                            "rows": 3614007,
                            "children": [
                                {
                                    "operatorType": "Expand(All)@finbenchsf10",
                                    "Details": "(n2)&lt;-[r3:repay]-(n3)",
                                    "dbHits": 5056562,
                                    "rows": 3614007,
                                    "children": [
                                        {
                                            "operatorType": "Filter@finbenchsf10",
                                            "Details": "n2:Loan AND not r1 = r2",
                                            "dbHits": 9050639,
                                            "rows": 1442555,
                                            "children": [
                                                {
                                                    "operatorType": "Expand(All)@finbenchsf10",
                                                    "Details": "(n1)-[r2]-&gt;(n2)",
                                                    "dbHits": 10559934,
                                                    "rows": 9050639,
                                                    "children": [
                                                        {
                                                            "operatorType": "Expand(All)@finbenchsf10",
                                                            "Details": "(n0)-[r1]-&gt;(n1)",
                                                            "dbHits": 1800530,
                                                            "rows": 1509295,
                                                            "children": [
                                                                {
                                                                    "operatorType": "NodeByLabelScan@finbenchsf10",
                                                                    "Details": "n0:Company",
                                                                    "dbHits": 291236,
                                                                    "rows": 291235,
                                                                    "children": []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},</t>
  </si>
  <si>
    <t xml:space="preserve"> "AllDbHits": 12138150,
        "profile": {
            "operatorType": "ProduceResults@finbenchsf10",
            "Details": "`count(n3)`",
            "dbHits": 0,
            "rows": 1,
            "children": [
                {
                    "operatorType": "EagerAggregation@finbenchsf10",
                    "Details": "count(n3) AS `count(n3)`",
                    "dbHits": 0,
                    "rows": 1,
                    "children": [
                        {
                            "operatorType": "Filter@finbenchsf10",
                            "Details": "n3:Account",
                            "dbHits": 3614007,
                            "rows": 3614007,
                            "children": [
                                {
                                    "operatorType": "Expand(All)@finbenchsf10",
                                    "Details": "(n2)&lt;-[r3:repay]-(n3)",
                                    "dbHits": 5056562,
                                    "rows": 3614007,
                                    "children": [
                                        {
                                            "operatorType": "Filter@finbenchsf10",
                                            "Details": "n2:Loan",
                                            "dbHits": 1442555,
                                            "rows": 1442555,
                                            "children": [
                                                {
                                                    "operatorType": "Expand(All)@finbenchsf10",
                                                    "Details": "(n0)-[ANON_COMPANY_LOAN0:COMPANY_LOAN]-&gt;(n2)",
                                                    "dbHits": 1733790,
                                                    "rows": 1442555,
                                                    "children": [
                                                        {
                                                            "operatorType": "NodeByLabelScan@finbenchsf10",
                                                            "Details": "n0:Company",
                                                            "dbHits": 291236,
                                                            "rows": 291235,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},</t>
  </si>
  <si>
    <t>AllDbhits:25851473                                                          "profile": {
            "operatorType": "ProduceResults@finbenchsf10",
            "Details": "`count(n1)`",
            "dbHits": 0,
            "rows": 1,
            "children": [
                {
                    "operatorType": "EagerAggregation@finbenchsf10",
                    "Details": "count(n1) AS `count(n1)`",
                    "dbHits": 0,
                    "rows": 1,
                    "children": [
                        {
                            "operatorType": "Filter@finbenchsf10",
                            "Details": "n2:Account",
                            "dbHits": 5151969,
                            "rows": 5151969,
                            "children": [
                                {
                                    "operatorType": "Expand(All)@finbenchsf10",
                                    "Details": "(n0)-[r2:own]-&gt;(n2)",
                                    "dbHits": 8017005,
                                    "rows": 5151969,
                                    "children": [
                                        {
                                            "operatorType": "Filter@finbenchsf10",
                                            "Details": "n0:Person",
                                            "dbHits": 4366813,
                                            "rows": 2865036,
                                            "children": [
                                                {
                                                    "operatorType": "VarLengthExpand(All)@finbenchsf10",
                                                    "Details": "(n1)&lt;-[r1*2..2]-(n0)",
                                                    "dbHits": 8024450,
                                                    "rows": 4366813,
                                                    "children": [
                                                        {
                                                            "operatorType": "NodeByLabelScan@finbenchsf10",
                                                            "Details": "n1:Company",
                                                            "dbHits": 291236,
                                                            "rows": 291235,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},</t>
  </si>
  <si>
    <t xml:space="preserve">        "AllDbHits": 14538025,
        "profile": {
            "operatorType": "ProduceResults@finbenchsf10",
            "Details": "`count(n1)`",
            "dbHits": 0,
            "rows": 1,
            "children": [
                {
                    "operatorType": "EagerAggregation@finbenchsf10",
                    "Details": "count(n1) AS `count(n1)`",
                    "dbHits": 0,
                    "rows": 1,
                    "children": [
                        {
                            "operatorType": "Filter@finbenchsf10",
                            "Details": "n1:Company",
                            "dbHits": 5151969,
                            "rows": 5151969,
                            "children": [
                                {
                                    "operatorType": "Expand(All)@finbenchsf10",
                                    "Details": "(n0)-[ANON_PERSON_COMPANY0:PERSON_COMPANY]-&gt;(n1)",
                                    "dbHits": 6174883,
                                    "rows": 5151969,
                                    "children": [
                                        {
                                            "operatorType": "Filter@finbenchsf10",
                                            "Details": "n2:Account",
                                            "dbHits": 1022914,
                                            "rows": 1022914,
                                            "children": [
                                                {
                                                    "operatorType": "Expand(All)@finbenchsf10",
                                                    "Details": "(n0)-[r2:own]-&gt;(n2)",
                                                    "dbHits": 1605586,
                                                    "rows": 1022914,
                                                    "children": [
                                                        {
                                                            "operatorType": "NodeByLabelScan@finbenchsf10",
                                                            "Details": "n0:Person",
                                                            "dbHits": 582673,
                                                            "rows": 582672,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},</t>
  </si>
  <si>
    <t xml:space="preserve"> AllDbHits:60767764                                     "profile": {
            "operatorType": "ProduceResults@finbenchsf10",
            "Details": "`count(n2)`",
            "dbHits": 0,
            "rows": 1,
            "children": [
                {
                    "operatorType": "EagerAggregation@finbenchsf10",
                    "Details": "count(n2) AS `count(n2)`",
                    "dbHits": 0,
                    "rows": 1,
                    "children": [
                        {
                            "operatorType": "NodeHashJoin@finbenchsf10",
                            "Details": "n1",
                            "dbHits": 0,
                            "rows": 76828189,
                            "children": [
                                {
                                    "operatorType": "Filter@finbenchsf10",
                                    "Details": "n0:Medium",
                                    "dbHits": 5127913,
                                    "rows": 5127913,
                                    "children": [
                                        {
                                            "operatorType": "Expand(All)@finbenchsf10",
                                            "Details": "(n1)&lt;-[r1:signIn]-(n0)",
                                            "dbHits": 6662093,
                                            "rows": 5127913,
                                            "children": [
                                                {
                                                    "operatorType": "NodeByLabelScan@finbenchsf10",
                                                    "Details": "n1:Account",
                                                    "dbHits": 1534181,
                                                    "rows": 1534180,
                                                    "children": []
                                                }
                                            ]
                                        }
                                    ]
                                },
                                {
                                    "operatorType": "VarLengthExpand(All)@finbenchsf10",
                                    "Details": "(n2)&lt;-[r2*..2]-(n1)",
                                    "dbHits": 46414801,
                                    "rows": 42392775,
                                    "children": [
                                        {
                                            "operatorType": "NodeByLabelScan@finbenchsf10",
                                            "Details": "n2:Loan",
                                            "dbHits": 1028776,
                                            "rows": 1028775,
                                            "children": []
                                        }
                                    ]
                                }
                            ]
                        }
                    ]
                }
            ]
        },</t>
  </si>
  <si>
    <t xml:space="preserve">        "AllDbHits": 172108478,
        "profile": {
            "operatorType": "ProduceResults@finbenchsf10",
            "Details": "`count(n2)`",
            "dbHits": 0,
            "rows": 1,
            "children": [
                {
                    "operatorType": "EagerAggregation@finbenchsf10",
                    "Details": "count(n2) AS `count(n2)`",
                    "dbHits": 0,
                    "rows": 1,
                    "children": [
                        {
                            "operatorType": "Filter@finbenchsf10",
                            "Details": "n2:Loan",
                            "dbHits": 76828189,
                            "rows": 76828189,
                            "children": [
                                {
                                    "operatorType": "Expand(All)@finbenchsf10",
                                    "Details": "(n1)-[ANON_ACCOUNT_LOAN0:ACCOUNT_LOAN]-&gt;(n2)",
                                    "dbHits": 81956102,
                                    "rows": 76828189,
                                    "children": [
                                        {
                                            "operatorType": "Filter@finbenchsf10",
                                            "Details": "n0:Medium",
                                            "dbHits": 5127913,
                                            "rows": 5127913,
                                            "children": [
                                                {
                                                    "operatorType": "Expand(All)@finbenchsf10",
                                                    "Details": "(n1)&lt;-[r1:signIn]-(n0)",
                                                    "dbHits": 6662093,
                                                    "rows": 5127913,
                                                    "children": [
                                                        {
                                                            "operatorType": "NodeByLabelScan@finbenchsf10",
                                                            "Details": "n1:Account",
                                                            "dbHits": 1534181,
                                                            "rows": 1534180,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},</t>
  </si>
  <si>
    <t>AllDbHITS:34384838                                      "profile": {
            "operatorType": "ProduceResults@finbenchsf10",
            "Details": "`count(n3)`",
            "dbHits": 0,
            "rows": 1,
            "children": [
                {
                    "operatorType": "EagerAggregation@finbenchsf10",
                    "Details": "count(n3) AS `count(n3)`",
                    "dbHits": 0,
                    "rows": 1,
                    "children": [
                        {
                            "operatorType": "NodeHashJoin@finbenchsf10",
                            "Details": "n2",
                            "dbHits": 0,
                            "rows": 14601110,
                            "children": [
                                {
                                    "operatorType": "Filter@finbenchsf10",
                                    "Details": "n0:Loan AND not r1 = r2",
                                    "dbHits": 9050639,
                                    "rows": 1442555,
                                    "children": [
                                        {
                                            "operatorType": "Expand(All)@finbenchsf10",
                                            "Details": "(n1)-[r1]-&gt;(n0)",
                                            "dbHits": 10559934,
                                            "rows": 9050639,
                                            "children": [
                                                {
                                                    "operatorType": "Expand(All)@finbenchsf10",
                                                    "Details": "(n2)-[r2]-&gt;(n1)",
                                                    "dbHits": 1800530,
                                                    "rows": 1509295,
                                                    "children": [
                                                        {
                                                            "operatorType": "NodeByLabelScan@finbenchsf10",
                                                            "Details": "n2:Company",
                                                            "dbHits": 291236,
                                                            "rows": 291235,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},</t>
  </si>
  <si>
    <t xml:space="preserve">       "AllDbHits": 9780124,
        "profile": {
            "operatorType": "ProduceResults@finbenchsf10",
            "Details": "`count(n3)`",
            "dbHits": 0,
            "rows": 1,
            "children": [
                {
                    "operatorType": "EagerAggregation@finbenchsf10",
                    "Details": "count(n3) AS `count(n3)`",
                    "dbHits": 0,
                    "rows": 1,
                    "children": [
                        {
                            "operatorType": "NodeHashJoin@finbenchsf10",
                            "Details": "n2",
                            "dbHits": 0,
                            "rows": 14601110,
                            "children": [
                                {
                                    "operatorType": "Filter@finbenchsf10",
                                    "Details": "n0:Loan",
                                    "dbHits": 1442555,
                                    "rows": 1442555,
                                    "children": [
                                        {
                                            "operatorType": "Expand(All)@finbenchsf10",
                                            "Details": "(n2)-[ANON_COMPANY_LOAN0:COMPANY_LOAN]-&gt;(n0)",
                                            "dbHits": 1733790,
                                            "rows": 1442555,
                                            "children": [
                                                {
                                                    "operatorType": "NodeByLabelScan@finbenchsf10",
                                                    "Details": "n2:Company",
                                                    "dbHits": 291236,
                                                    "rows": 291235,
                                                    "children": []
                                                }
                                            ]
                                        }
                                    ]
                                },
                                {
                                    "operatorType": "Filter@finbenchsf10",
                                    "Details": "n3:Person",
                                    "dbHits": 2865036,
                                    "rows": 2865036,
                                    "children": [
                                        {
                                            "operatorType": "Expand(All)@finbenchsf10",
                                            "Details": "(n2)&lt;-[ANON_PERSON_COMPANY0:PERSON_COMPANY]-(n3)",
                                            "dbHits": 3156271,
                                            "rows": 2865036,
                                            "children": [
                                                {
                                                    "operatorType": "NodeByLabelScan@finbenchsf10",
                                                    "Details": "n2:Company",
                                                    "dbHits": 291236,
                                                    "rows": 291235,
                                                    "children": []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},</t>
  </si>
  <si>
    <t xml:space="preserve"> "AllDbHits": 28593188                                        "profile": {
            "operatorType": "ProduceResults@finbenchsf10",
            "Details": "`count(n3)`",
            "dbHits": 0,
            "rows": 1,
            "children": [
                {
                    "operatorType": "EagerAggregation@finbenchsf10",
                    "Details": "count(n3) AS `count(n3)`",
                    "dbHits": 0,
                    "rows": 1,
                    "children": [
                        {
                            "operatorType": "Filter@finbenchsf10",
                            "Details": "n0:Account",
                            "dbHits": 2724147,
                            "rows": 2724147,
                            "children": [
                                {
                                    "operatorType": "Expand(All)@finbenchsf10",
                                    "Details": "(n1)-[r1:own]-&gt;(n0)",
                                    "dbHits": 4166702,
                                    "rows": 2724147,
                                    "children": [
                                        {
                                            "operatorType": "Filter@finbenchsf10",
                                            "Details": "n3:Loan AND not r2 = r3",
                                            "dbHits": 9050639,
                                            "rows": 1442555,
                                            "children": [
                                                {
                                                    "operatorType": "Expand(All)@finbenchsf10",
                                                    "Details": "(n2)-[r3]-&gt;(n3)",
                                                    "dbHits": 10559934,
                                                    "rows": 9050639,
                                                    "children": [
                                                        {
                                                            "operatorType": "Expand(All)@finbenchsf10",
                                                            "Details": "(n1)-[r2]-&gt;(n2)",
                                                            "dbHits": 1800530,
                                                            "rows": 1509295,
                                                            "children": [
                                                                {
                                                                    "operatorType": "NodeByLabelScan@finbenchsf10",
                                                                    "Details": "n1:Company",
                                                                    "dbHits": 291236,
                                                                    "rows": 291235,
                                                                    "children": []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},</t>
  </si>
  <si>
    <t>"AllDbHits": 7564563,
        "profile": {
            "operatorType": "ProduceResults@finbenchsf10",
            "Details": "`count(n3)`",
            "dbHits": 0,
            "rows": 1,
            "children": [
                {
                    "operatorType": "EagerAggregation@finbenchsf10",
                    "Details": "count(n3) AS `count(n3)`",
                    "dbHits": 0,
                    "rows": 1,
                    "children": [
                        {
                            "operatorType": "Filter@finbenchsf10",
                            "Details": "n3:Loan",
                            "dbHits": 2724147,
                            "rows": 2724147,
                            "children": [
                                {
                                    "operatorType": "Expand(All)@finbenchsf10",
                                    "Details": "(n1)-[ANON_COMPANY_LOAN0:COMPANY_LOAN]-&gt;(n3)",
                                    "dbHits": 3235413,
                                    "rows": 2724147,
                                    "children": [
                                        {
                                            "operatorType": "Filter@finbenchsf10",
                                            "Details": "n0:Account",
                                            "dbHits": 511266,
                                            "rows": 511266,
                                            "children": [
                                                {
                                                    "operatorType": "Expand(All)@finbenchsf10",
                                                    "Details": "(n1)-[r1:own]-&gt;(n0)",
                                                    "dbHits": 802501,
                                                    "rows": 511266,
                                                    "children": [
                                                        {
                                                            "operatorType": "NodeByLabelScan@finbenchsf10",
                                                            "Details": "n1:Company",
                                                            "dbHits": 291236,
                                                            "rows": 291235,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},</t>
  </si>
  <si>
    <t>"AllDbHits": 193252338                                 "profile": {
            "operatorType": "ProduceResults@finbenchsf10",
            "Details": "`count(n1)`",
            "dbHits": 0,
            "rows": 1,
            "children": [
                {
                    "operatorType": "EagerAggregation@finbenchsf10",
                    "Details": "count(n1) AS `count(n1)`",
                    "dbHits": 0,
                    "rows": 1,
                    "children": [
                        {
                            "operatorType": "Filter@finbenchsf10",
                            "Details": "n0:Account",
                            "dbHits": 82525441,
                            "rows": 39595119,
                            "children": [
                                {
                                    "operatorType": "VarLengthExpand(All)@finbenchsf10",
                                    "Details": "(n1)&lt;-[r1*..2]-(n0)",
                                    "dbHits": 89024558,
                                    "rows": 82525441,
                                    "children": [
                                        {
                                            "operatorType": "Filter@finbenchsf10",
                                            "Details": "n1:Loan AND not r2 = r3",
                                            "dbHits": 9050639,
                                            "rows": 1442555,
                                            "children": [
                                                {
                                                    "operatorType": "Expand(All)@finbenchsf10",
                                                    "Details": "(n2)-[r2]-&gt;(n1)",
                                                    "dbHits": 10559934,
                                                    "rows": 9050639,
                                                    "children": [
                                                        {
                                                            "operatorType": "Expand(All)@finbenchsf10",
                                                            "Details": "(n3)-[r3]-&gt;(n2)",
                                                            "dbHits": 1800530,
                                                            "rows": 1509295,
                                                            "children": [
                                                                {
                                                                    "operatorType": "NodeByLabelScan@finbenchsf10",
                                                                    "Details": "n3:Company",
                                                                    "dbHits": 291236,
                                                                    "rows": 291235,
                                                                    "children": []
                                                                }
                                                            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},</t>
  </si>
  <si>
    <t xml:space="preserve">        "AllDbHits": 84100374,
        "profile": {
            "operatorType": "ProduceResults@finbenchsf10",
            "Details": "`count(n1)`",
            "dbHits": 0,
            "rows": 1,
            "children": [
                {
                    "operatorType": "EagerAggregation@finbenchsf10",
                    "Details": "count(n1) AS `count(n1)`",
                    "dbHits": 0,
                    "rows": 1,
                    "children": [
                        {
                            "operatorType": "Filter@finbenchsf10",
                            "Details": "n0:Account",
                            "dbHits": 39595119,
                            "rows": 39595119,
                            "children": [
                                {
                                    "operatorType": "Expand(All)@finbenchsf10",
                                    "Details": "(n1)&lt;-[ANON_ACCOUNT_LOAN0:ACCOUNT_LOAN]-(n0)",
                                    "dbHits": 41037674,
                                    "rows": 39595119,
                                    "children": [
                                        {
                                            "operatorType": "Filter@finbenchsf10",
                                            "Details": "n1:Loan",
                                            "dbHits": 1442555,
                                            "rows": 1442555,
                                            "children": [
                                                {
                                                    "operatorType": "Expand(All)@finbenchsf10",
                                                    "Details": "(n3)-[ANON_COMPANY_LOAN0:COMPANY_LOAN]-&gt;(n1)",
                                                    "dbHits": 1733790,
                                                    "rows": 1442555,
                                                    "children": [
                                                        {
                                                            "operatorType": "NodeByLabelScan@finbenchsf10",
                                                            "Details": "n3:Company",
                                                            "dbHits": 291236,
                                                            "rows": 291235,
                                                            "children": []
                                                        }
                                                    ]
                                                }
                                            ]
                                        }
                                    ]
                                }
                            ]
                        }
                    ]
                }
            ]
        },</t>
  </si>
  <si>
    <t xml:space="preserve">     "result": "[]",
        "add_nodes": 0,
        "delete_nodes": 0,
        "add_rel": 9,
        "delete_rel": 0</t>
  </si>
  <si>
    <t>MATCH (acc:Account {id: $accountId})-[r:repay{timestamp: $repayTime}]-&gt;(loan: Loan {id: $loanId})
delete r</t>
  </si>
  <si>
    <t xml:space="preserve">           "result": "[]",
        "add_nodes": 0,
        "delete_nodes": 0,
        "add_rel": 0,
        "delete_rel": 8</t>
  </si>
  <si>
    <t xml:space="preserve">        "result": "[]",
        "add_nodes": 0,
        "delete_nodes": 1,
        "add_rel": 0,
        "delete_rel": 32</t>
  </si>
  <si>
    <t>finbenchSf10</t>
  </si>
  <si>
    <t>Account</t>
  </si>
  <si>
    <t>Loan</t>
  </si>
  <si>
    <t>Medium</t>
  </si>
  <si>
    <t>Company</t>
  </si>
  <si>
    <t>AccountWithdrawAccount</t>
  </si>
  <si>
    <t>AccountTransferAccount</t>
  </si>
  <si>
    <t>LoanDepositAccount</t>
  </si>
  <si>
    <t>AccountRepayLoan</t>
  </si>
  <si>
    <t>MediumSignInAccount</t>
  </si>
  <si>
    <t>PersonInvestCompany</t>
  </si>
  <si>
    <t>PersonOwnAccount</t>
  </si>
  <si>
    <t>PersonApplyLoan</t>
  </si>
  <si>
    <t>CompanyOwnAccount</t>
  </si>
  <si>
    <t>CompanyInvestCompany</t>
  </si>
  <si>
    <t>CompanyApplyLoan</t>
  </si>
  <si>
    <t>PersonGuaranteePerson</t>
  </si>
  <si>
    <t>CompanyGuaranteeCompany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</si>
</sst>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  <numFmt numFmtId="177" formatCode="#,##0.000000000_ "/>
    <numFmt numFmtId="178" formatCode="#,##0.00_ "/>
    <numFmt numFmtId="179" formatCode="#,##0_ "/>
  </numFmts>
  <fonts count="61">
    <font>
      <sz val="11"/>
      <color theme="1"/>
      <name val="宋体"/>
      <charset val="134"/>
      <scheme val="minor"/>
    </font>
    <font>
      <sz val="36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rgb="FF000000"/>
      <name val="Microsoft YaHei"/>
      <charset val="134"/>
    </font>
    <font>
      <b/>
      <sz val="16"/>
      <color theme="1"/>
      <name val="Microsoft YaHei"/>
      <charset val="134"/>
    </font>
    <font>
      <b/>
      <sz val="11"/>
      <color rgb="FF000000"/>
      <name val="Microsoft YaHei"/>
      <charset val="134"/>
    </font>
    <font>
      <sz val="11"/>
      <color theme="1"/>
      <name val="Microsoft YaHei"/>
      <charset val="134"/>
    </font>
    <font>
      <b/>
      <sz val="14"/>
      <color rgb="FF000000"/>
      <name val="Microsoft YaHei"/>
      <charset val="134"/>
    </font>
    <font>
      <b/>
      <sz val="14"/>
      <color theme="1"/>
      <name val="Microsoft YaHei"/>
      <charset val="134"/>
    </font>
    <font>
      <b/>
      <sz val="13.5"/>
      <color rgb="FF000000"/>
      <name val="Microsoft YaHei"/>
      <charset val="134"/>
    </font>
    <font>
      <b/>
      <sz val="12"/>
      <color rgb="FF000000"/>
      <name val="Microsoft YaHei"/>
      <charset val="134"/>
    </font>
    <font>
      <b/>
      <sz val="14"/>
      <color rgb="FF000000"/>
      <name val="宋体"/>
      <charset val="134"/>
    </font>
    <font>
      <sz val="24"/>
      <color rgb="FF000000"/>
      <name val="宋体"/>
      <charset val="134"/>
    </font>
    <font>
      <b/>
      <sz val="18"/>
      <color rgb="FF000000"/>
      <name val="宋体"/>
      <charset val="134"/>
    </font>
    <font>
      <sz val="11"/>
      <color rgb="FF0D0D0D"/>
      <name val="宋体"/>
      <charset val="134"/>
    </font>
    <font>
      <sz val="11"/>
      <color rgb="FFFF0000"/>
      <name val="宋体"/>
      <charset val="134"/>
    </font>
    <font>
      <sz val="11"/>
      <color rgb="FF0D0D0D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rgb="FF000000"/>
      <name val="Microsoft YaHei"/>
      <charset val="134"/>
    </font>
    <font>
      <sz val="10.5"/>
      <color rgb="FF000000"/>
      <name val="Microsoft YaHei"/>
      <charset val="134"/>
    </font>
    <font>
      <b/>
      <sz val="16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6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0"/>
      <color rgb="FF000000"/>
      <name val="微软雅黑"/>
      <charset val="134"/>
    </font>
    <font>
      <b/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.5"/>
      <color rgb="FF9CDCFE"/>
      <name val="宋体"/>
      <charset val="134"/>
      <scheme val="minor"/>
    </font>
    <font>
      <sz val="10.5"/>
      <color rgb="FFB5CEA8"/>
      <name val="宋体"/>
      <charset val="134"/>
      <scheme val="minor"/>
    </font>
    <font>
      <sz val="14"/>
      <color theme="1"/>
      <name val="Microsoft YaHei"/>
      <charset val="134"/>
    </font>
    <font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3" borderId="4" applyNumberFormat="0" applyAlignment="0" applyProtection="0">
      <alignment vertical="center"/>
    </xf>
    <xf numFmtId="0" fontId="51" fillId="4" borderId="5" applyNumberFormat="0" applyAlignment="0" applyProtection="0">
      <alignment vertical="center"/>
    </xf>
    <xf numFmtId="0" fontId="52" fillId="4" borderId="4" applyNumberFormat="0" applyAlignment="0" applyProtection="0">
      <alignment vertical="center"/>
    </xf>
    <xf numFmtId="0" fontId="53" fillId="5" borderId="6" applyNumberFormat="0" applyAlignment="0" applyProtection="0">
      <alignment vertical="center"/>
    </xf>
    <xf numFmtId="0" fontId="54" fillId="0" borderId="7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Fill="1" applyAlignment="1">
      <alignment vertical="center" wrapText="1"/>
    </xf>
    <xf numFmtId="0" fontId="11" fillId="0" borderId="0" xfId="0" applyFont="1" applyFill="1" applyAlignment="1">
      <alignment horizontal="center" vertical="center" wrapText="1"/>
    </xf>
    <xf numFmtId="0" fontId="12" fillId="0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1" fillId="0" borderId="0" xfId="0" applyNumberFormat="1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1" fillId="0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7" fillId="0" borderId="0" xfId="0" applyNumberFormat="1" applyFont="1" applyFill="1" applyAlignment="1">
      <alignment horizontal="center" vertical="center" wrapText="1"/>
    </xf>
    <xf numFmtId="11" fontId="11" fillId="0" borderId="0" xfId="0" applyNumberFormat="1" applyFont="1" applyFill="1" applyAlignment="1">
      <alignment horizontal="center" vertical="center" wrapText="1"/>
    </xf>
    <xf numFmtId="0" fontId="11" fillId="0" borderId="0" xfId="0" applyNumberFormat="1" applyFont="1" applyAlignment="1">
      <alignment horizontal="center" vertical="center"/>
    </xf>
    <xf numFmtId="0" fontId="11" fillId="0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 wrapText="1"/>
    </xf>
    <xf numFmtId="0" fontId="25" fillId="0" borderId="0" xfId="0" applyNumberFormat="1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/>
    </xf>
    <xf numFmtId="0" fontId="26" fillId="0" borderId="0" xfId="0" applyFont="1" applyBorder="1" applyAlignment="1">
      <alignment vertical="center" wrapText="1"/>
    </xf>
    <xf numFmtId="0" fontId="0" fillId="0" borderId="0" xfId="0" applyBorder="1">
      <alignment vertical="center"/>
    </xf>
    <xf numFmtId="0" fontId="25" fillId="0" borderId="0" xfId="0" applyNumberFormat="1" applyFont="1" applyBorder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8" fillId="0" borderId="0" xfId="0" applyFont="1" applyFill="1" applyAlignment="1">
      <alignment horizontal="center" vertical="center" wrapText="1"/>
    </xf>
    <xf numFmtId="0" fontId="28" fillId="0" borderId="0" xfId="0" applyFont="1" applyFill="1" applyAlignment="1">
      <alignment horizontal="left" vertical="center" wrapText="1"/>
    </xf>
    <xf numFmtId="0" fontId="29" fillId="0" borderId="0" xfId="0" applyFont="1" applyAlignment="1">
      <alignment horizontal="center" vertical="center" wrapText="1"/>
    </xf>
    <xf numFmtId="0" fontId="29" fillId="0" borderId="0" xfId="0" applyFont="1" applyFill="1" applyAlignment="1">
      <alignment horizontal="center" vertical="center" wrapText="1"/>
    </xf>
    <xf numFmtId="176" fontId="29" fillId="0" borderId="0" xfId="0" applyNumberFormat="1" applyFont="1" applyFill="1" applyAlignment="1">
      <alignment horizontal="center" vertical="center" wrapText="1"/>
    </xf>
    <xf numFmtId="0" fontId="29" fillId="0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1" fillId="0" borderId="0" xfId="0" applyFont="1" applyFill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Fill="1" applyAlignment="1">
      <alignment horizontal="left" vertical="center" wrapText="1"/>
    </xf>
    <xf numFmtId="177" fontId="32" fillId="0" borderId="0" xfId="0" applyNumberFormat="1" applyFont="1" applyFill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177" fontId="32" fillId="0" borderId="0" xfId="0" applyNumberFormat="1" applyFont="1" applyAlignment="1">
      <alignment horizontal="center" vertical="center" wrapText="1"/>
    </xf>
    <xf numFmtId="177" fontId="33" fillId="0" borderId="0" xfId="0" applyNumberFormat="1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178" fontId="32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179" fontId="33" fillId="0" borderId="0" xfId="0" applyNumberFormat="1" applyFont="1" applyFill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179" fontId="32" fillId="0" borderId="0" xfId="0" applyNumberFormat="1" applyFont="1" applyFill="1" applyAlignment="1">
      <alignment horizontal="center" vertical="center" wrapText="1"/>
    </xf>
    <xf numFmtId="179" fontId="33" fillId="0" borderId="0" xfId="0" applyNumberFormat="1" applyFont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36" fillId="0" borderId="0" xfId="0" applyFont="1" applyFill="1" applyAlignment="1">
      <alignment horizontal="left" vertical="center" wrapText="1"/>
    </xf>
    <xf numFmtId="179" fontId="32" fillId="0" borderId="0" xfId="0" applyNumberFormat="1" applyFont="1" applyAlignment="1">
      <alignment horizontal="center" vertical="center" wrapText="1"/>
    </xf>
    <xf numFmtId="176" fontId="29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40" fillId="0" borderId="0" xfId="0" applyFont="1">
      <alignment vertical="center"/>
    </xf>
    <xf numFmtId="0" fontId="40" fillId="0" borderId="0" xfId="0" applyFont="1" applyAlignment="1">
      <alignment vertical="center" wrapText="1"/>
    </xf>
    <xf numFmtId="0" fontId="41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29" dbFileVersion="0">
    <open main="50" threadCnt="1"/>
    <sheetInfos>
      <sheetInfo cellCmpFml="15" sheetStid="5">
        <open threadCnt="1"/>
      </sheetInfo>
      <sheetInfo cellCmpFml="8" sheetStid="29">
        <open threadCnt="1"/>
      </sheetInfo>
      <sheetInfo cellCmpFml="14" sheetStid="24">
        <open threadCnt="1"/>
      </sheetInfo>
      <sheetInfo cellCmpFml="7" sheetStid="30">
        <open threadCnt="1"/>
      </sheetInfo>
      <sheetInfo cellCmpFml="2" sheetStid="17">
        <open threadCnt="1"/>
      </sheetInfo>
      <sheetInfo cellCmpFml="2" sheetStid="28">
        <open threadCnt="1"/>
      </sheetInfo>
      <sheetInfo cellCmpFml="44" sheetStid="26">
        <open threadCnt="1"/>
      </sheetInfo>
      <sheetInfo cellCmpFml="14" sheetStid="32">
        <open main="1" threadCnt="1"/>
      </sheetInfo>
      <sheetInfo cellCmpFml="7" sheetStid="34">
        <open threadCnt="1"/>
      </sheetInfo>
      <sheetInfo cellCmpFml="7" sheetStid="21">
        <open threadCnt="1"/>
      </sheetInfo>
      <sheetInfo cellCmpFml="7" sheetStid="22">
        <open threadCnt="1"/>
      </sheetInfo>
      <sheetInfo cellCmpFml="2" sheetStid="19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www.wps.cn/officeDocument/2023/relationships/woinfos" Target="woinfo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customXml" Target="../customXml/item3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opLeftCell="C13" workbookViewId="0">
      <selection activeCell="E11" sqref="E11"/>
    </sheetView>
  </sheetViews>
  <sheetFormatPr defaultColWidth="9" defaultRowHeight="13.5"/>
  <cols>
    <col min="1" max="1" width="12.5416666666667" customWidth="1"/>
    <col min="2" max="2" width="62" customWidth="1"/>
    <col min="3" max="3" width="45.8333333333333" customWidth="1"/>
    <col min="4" max="4" width="45.0833333333333" customWidth="1"/>
    <col min="5" max="5" width="28.5083333333333" customWidth="1"/>
    <col min="6" max="6" width="38.0833333333333" customWidth="1"/>
    <col min="7" max="7" width="25" customWidth="1"/>
    <col min="8" max="8" width="79.1166666666667" customWidth="1"/>
    <col min="9" max="9" width="86.1916666666667" customWidth="1"/>
    <col min="10" max="10" width="41.5416666666667" customWidth="1"/>
  </cols>
  <sheetData>
    <row r="1" ht="134" customHeight="1" spans="2:7">
      <c r="B1" s="8" t="s">
        <v>0</v>
      </c>
      <c r="C1" s="9"/>
      <c r="D1" s="9"/>
      <c r="E1" s="9"/>
      <c r="F1" s="9"/>
      <c r="G1" s="9"/>
    </row>
    <row r="2" ht="134" customHeight="1" spans="1:9">
      <c r="A2" s="10" t="s">
        <v>1</v>
      </c>
      <c r="B2" s="8" t="s">
        <v>2</v>
      </c>
      <c r="C2" s="53">
        <v>19.8478610515594</v>
      </c>
      <c r="D2" s="8" t="s">
        <v>3</v>
      </c>
      <c r="E2" s="53">
        <v>0.354962587356567</v>
      </c>
      <c r="F2" s="8" t="s">
        <v>4</v>
      </c>
      <c r="G2" s="53">
        <v>6.3523678779602</v>
      </c>
      <c r="H2" s="8" t="s">
        <v>5</v>
      </c>
      <c r="I2" s="63">
        <v>23.1221528053283</v>
      </c>
    </row>
    <row r="3" ht="16.5" spans="1:10">
      <c r="A3" s="11"/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4" t="s">
        <v>12</v>
      </c>
      <c r="I3" s="4" t="s">
        <v>13</v>
      </c>
      <c r="J3" s="47" t="s">
        <v>14</v>
      </c>
    </row>
    <row r="4" ht="259" customHeight="1" spans="1:10">
      <c r="A4" s="13" t="s">
        <v>15</v>
      </c>
      <c r="B4" s="14" t="s">
        <v>16</v>
      </c>
      <c r="C4" s="20">
        <v>1.67349224090576</v>
      </c>
      <c r="D4" s="29">
        <v>3.5909e-5</v>
      </c>
      <c r="E4" s="20">
        <v>0.773971223831176</v>
      </c>
      <c r="F4" s="16">
        <f t="shared" ref="F4:F13" si="0">C4/E4</f>
        <v>2.1622150661131</v>
      </c>
      <c r="G4" s="21">
        <v>713258</v>
      </c>
      <c r="H4" s="25" t="s">
        <v>17</v>
      </c>
      <c r="I4" s="25" t="s">
        <v>18</v>
      </c>
      <c r="J4" s="67">
        <f>4457116/1446301</f>
        <v>3.08173471497289</v>
      </c>
    </row>
    <row r="5" ht="243" spans="1:10">
      <c r="A5" s="13" t="s">
        <v>19</v>
      </c>
      <c r="B5" s="17" t="s">
        <v>20</v>
      </c>
      <c r="C5" s="20">
        <v>2.19817838668823</v>
      </c>
      <c r="D5" s="15">
        <f>0.000014288+0.000038568</f>
        <v>5.2856e-5</v>
      </c>
      <c r="E5" s="20">
        <v>1.3584132194519</v>
      </c>
      <c r="F5" s="16">
        <f t="shared" si="0"/>
        <v>1.61819566771822</v>
      </c>
      <c r="G5" s="21">
        <v>711775</v>
      </c>
      <c r="H5" s="25" t="s">
        <v>21</v>
      </c>
      <c r="I5" s="25" t="s">
        <v>22</v>
      </c>
      <c r="J5" s="68">
        <f>5026271/2174990</f>
        <v>2.31093982041297</v>
      </c>
    </row>
    <row r="6" ht="147" customHeight="1" spans="1:10">
      <c r="A6" s="13" t="s">
        <v>23</v>
      </c>
      <c r="B6" s="17" t="s">
        <v>24</v>
      </c>
      <c r="C6" s="20">
        <v>908.910080766677</v>
      </c>
      <c r="D6" s="29">
        <v>4.3859e-5</v>
      </c>
      <c r="E6" s="20">
        <v>772.631168985366</v>
      </c>
      <c r="F6" s="16">
        <f t="shared" si="0"/>
        <v>1.17638288131745</v>
      </c>
      <c r="G6" s="21">
        <v>465885573</v>
      </c>
      <c r="H6" s="25" t="s">
        <v>25</v>
      </c>
      <c r="I6" s="25" t="s">
        <v>26</v>
      </c>
      <c r="J6" s="67">
        <f>2288398509/1748235735</f>
        <v>1.30897593681781</v>
      </c>
    </row>
    <row r="7" ht="364.5" spans="1:10">
      <c r="A7" s="13" t="s">
        <v>27</v>
      </c>
      <c r="B7" s="18" t="s">
        <v>28</v>
      </c>
      <c r="C7" s="20">
        <v>9.47379918098449</v>
      </c>
      <c r="D7" s="29">
        <v>2.636e-5</v>
      </c>
      <c r="E7" s="20">
        <v>4.23606257438659</v>
      </c>
      <c r="F7" s="16">
        <f t="shared" si="0"/>
        <v>2.23646346450781</v>
      </c>
      <c r="G7" s="15">
        <v>2052169</v>
      </c>
      <c r="H7" s="25" t="s">
        <v>29</v>
      </c>
      <c r="I7" s="25" t="s">
        <v>30</v>
      </c>
      <c r="J7" s="68">
        <f>33981811/14365184</f>
        <v>2.36556740240849</v>
      </c>
    </row>
    <row r="8" ht="378" spans="1:10">
      <c r="A8" s="13" t="s">
        <v>31</v>
      </c>
      <c r="B8" s="17" t="s">
        <v>32</v>
      </c>
      <c r="C8" s="30">
        <v>28.4799862861633</v>
      </c>
      <c r="D8" s="29">
        <v>3.1024e-5</v>
      </c>
      <c r="E8" s="30">
        <v>24.2306784629821</v>
      </c>
      <c r="F8" s="16">
        <f t="shared" si="0"/>
        <v>1.17536891629646</v>
      </c>
      <c r="G8" s="22">
        <v>2052169</v>
      </c>
      <c r="H8" s="25" t="s">
        <v>33</v>
      </c>
      <c r="I8" s="25" t="s">
        <v>34</v>
      </c>
      <c r="J8" s="68">
        <f>40138318/20521691</f>
        <v>1.95589720164873</v>
      </c>
    </row>
    <row r="9" ht="200" customHeight="1" spans="1:10">
      <c r="A9" s="13" t="s">
        <v>35</v>
      </c>
      <c r="B9" s="17" t="s">
        <v>36</v>
      </c>
      <c r="C9" s="30">
        <v>268.705395460128</v>
      </c>
      <c r="D9" s="29">
        <v>7.3583e-5</v>
      </c>
      <c r="E9" s="30">
        <v>241.426141500473</v>
      </c>
      <c r="F9" s="16">
        <f t="shared" si="0"/>
        <v>1.11299212997446</v>
      </c>
      <c r="G9" s="22">
        <v>28372625</v>
      </c>
      <c r="H9" s="25" t="s">
        <v>37</v>
      </c>
      <c r="I9" s="25" t="s">
        <v>38</v>
      </c>
      <c r="J9" s="67">
        <f>68224963/57025243</f>
        <v>1.19639933844736</v>
      </c>
    </row>
    <row r="10" ht="94.5" spans="1:10">
      <c r="A10" s="13" t="s">
        <v>39</v>
      </c>
      <c r="B10" s="17" t="s">
        <v>40</v>
      </c>
      <c r="C10" s="30">
        <v>3.42978086471557</v>
      </c>
      <c r="D10" s="29">
        <v>3.1263e-5</v>
      </c>
      <c r="E10" s="30">
        <v>2.84214076995849</v>
      </c>
      <c r="F10" s="16">
        <f t="shared" si="0"/>
        <v>1.20675967248648</v>
      </c>
      <c r="G10" s="22">
        <v>3488413</v>
      </c>
      <c r="H10" s="25" t="s">
        <v>41</v>
      </c>
      <c r="I10" s="25" t="s">
        <v>42</v>
      </c>
      <c r="J10" s="68">
        <f>9148761/7008987</f>
        <v>1.30529005118714</v>
      </c>
    </row>
    <row r="11" ht="244.7" customHeight="1" spans="1:9">
      <c r="A11" s="13" t="s">
        <v>43</v>
      </c>
      <c r="B11" s="19" t="s">
        <v>44</v>
      </c>
      <c r="C11" s="30">
        <v>0.0586595058441162</v>
      </c>
      <c r="D11" s="21">
        <v>0</v>
      </c>
      <c r="E11" s="30">
        <v>0.096177339553833</v>
      </c>
      <c r="F11" s="16">
        <f t="shared" si="0"/>
        <v>0.609909840678042</v>
      </c>
      <c r="G11" s="22"/>
      <c r="H11" s="32" t="s">
        <v>45</v>
      </c>
      <c r="I11" s="25"/>
    </row>
    <row r="12" s="33" customFormat="1" ht="84" spans="1:9">
      <c r="A12" s="13" t="s">
        <v>46</v>
      </c>
      <c r="B12" s="14" t="s">
        <v>47</v>
      </c>
      <c r="C12" s="31">
        <v>0.0306453704833984</v>
      </c>
      <c r="D12" s="21">
        <v>0</v>
      </c>
      <c r="E12" s="31">
        <v>0.0713555812835693</v>
      </c>
      <c r="F12" s="16">
        <f t="shared" si="0"/>
        <v>0.429474049992148</v>
      </c>
      <c r="G12" s="26"/>
      <c r="H12" s="32" t="s">
        <v>48</v>
      </c>
      <c r="I12" s="25"/>
    </row>
    <row r="13" ht="409.5" spans="1:9">
      <c r="A13" s="13" t="s">
        <v>49</v>
      </c>
      <c r="B13" s="17" t="s">
        <v>50</v>
      </c>
      <c r="C13" s="30">
        <v>0.0264111042022705</v>
      </c>
      <c r="D13" s="21">
        <v>0</v>
      </c>
      <c r="E13" s="30">
        <v>0.102873229980468</v>
      </c>
      <c r="F13" s="16">
        <f t="shared" si="0"/>
        <v>0.256734470253195</v>
      </c>
      <c r="G13" s="22"/>
      <c r="H13" s="32" t="s">
        <v>51</v>
      </c>
      <c r="I13" s="25"/>
    </row>
    <row r="14" ht="21" spans="1:9">
      <c r="A14" s="13"/>
      <c r="B14" s="14"/>
      <c r="C14" s="23">
        <f>SUM(C4:C13)</f>
        <v>1222.98642916679</v>
      </c>
      <c r="D14" s="23">
        <f>E14+C2+E2+G2+I2</f>
        <v>1097.44632720947</v>
      </c>
      <c r="E14" s="23">
        <f>SUM(E4:E13)</f>
        <v>1047.76898288727</v>
      </c>
      <c r="F14" s="20">
        <f>GEOMEAN(F4:F13)</f>
        <v>0.997703340071485</v>
      </c>
      <c r="G14" s="27">
        <f>C14/D14</f>
        <v>1.11439293097507</v>
      </c>
      <c r="H14" s="23">
        <f>C14/E14</f>
        <v>1.16722908307201</v>
      </c>
      <c r="I14" s="27"/>
    </row>
    <row r="15" ht="18.75" spans="3:9">
      <c r="C15" s="24" t="s">
        <v>52</v>
      </c>
      <c r="D15" s="24" t="s">
        <v>53</v>
      </c>
      <c r="E15" s="24" t="s">
        <v>54</v>
      </c>
      <c r="F15" s="24" t="s">
        <v>55</v>
      </c>
      <c r="G15" s="24" t="s">
        <v>56</v>
      </c>
      <c r="H15" s="24" t="s">
        <v>57</v>
      </c>
      <c r="I15" s="24"/>
    </row>
    <row r="16" ht="20.25" spans="2:7">
      <c r="B16" s="97"/>
      <c r="C16" s="98"/>
      <c r="D16" s="99"/>
      <c r="E16" s="98"/>
      <c r="F16" s="101"/>
      <c r="G16" s="99"/>
    </row>
    <row r="17" ht="20.25" spans="2:7">
      <c r="B17" s="97"/>
      <c r="C17" s="98"/>
      <c r="D17" s="99"/>
      <c r="E17" s="98"/>
      <c r="F17" s="101"/>
      <c r="G17" s="99"/>
    </row>
    <row r="18" ht="20.25" spans="2:8">
      <c r="B18" s="97"/>
      <c r="C18" s="98"/>
      <c r="D18" s="100"/>
      <c r="E18" s="98"/>
      <c r="F18" s="101"/>
      <c r="G18" s="100"/>
      <c r="H18" s="47"/>
    </row>
    <row r="19" spans="2:5">
      <c r="B19" s="97"/>
      <c r="C19" s="98"/>
      <c r="E19" s="98"/>
    </row>
    <row r="20" spans="2:5">
      <c r="B20" s="97"/>
      <c r="C20" s="98"/>
      <c r="E20" s="98"/>
    </row>
    <row r="21" spans="2:5">
      <c r="B21" s="97"/>
      <c r="C21" s="98"/>
      <c r="E21" s="98"/>
    </row>
    <row r="22" spans="2:5">
      <c r="B22" s="97"/>
      <c r="C22" s="98"/>
      <c r="E22" s="98"/>
    </row>
    <row r="24" ht="21" spans="4:4">
      <c r="D24" s="21"/>
    </row>
  </sheetData>
  <sheetProtection formatCells="0" insertHyperlinks="0" autoFilter="0"/>
  <mergeCells count="1">
    <mergeCell ref="B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A1" sqref="A1:I1"/>
    </sheetView>
  </sheetViews>
  <sheetFormatPr defaultColWidth="9" defaultRowHeight="13.5"/>
  <cols>
    <col min="1" max="1" width="10.5083333333333" customWidth="1"/>
    <col min="2" max="2" width="50.625" style="69" customWidth="1"/>
    <col min="3" max="3" width="27.3416666666667" customWidth="1"/>
    <col min="4" max="4" width="47.675" customWidth="1"/>
    <col min="5" max="5" width="24.5083333333333" customWidth="1"/>
    <col min="6" max="6" width="31.5083333333333" customWidth="1"/>
    <col min="7" max="7" width="21.7333333333333" customWidth="1"/>
    <col min="8" max="8" width="57.1666666666667" style="69" customWidth="1"/>
    <col min="9" max="9" width="50.625" style="69" customWidth="1"/>
  </cols>
  <sheetData>
    <row r="1" ht="96" customHeight="1" spans="1:9">
      <c r="A1" s="70" t="s">
        <v>0</v>
      </c>
      <c r="B1" s="71"/>
      <c r="C1" s="70"/>
      <c r="D1" s="70"/>
      <c r="E1" s="70"/>
      <c r="F1" s="70"/>
      <c r="G1" s="70"/>
      <c r="H1" s="71"/>
      <c r="I1" s="71"/>
    </row>
    <row r="2" ht="55.5" customHeight="1" spans="1:9">
      <c r="A2" s="72" t="s">
        <v>1</v>
      </c>
      <c r="B2" s="73" t="s">
        <v>2</v>
      </c>
      <c r="C2" s="74">
        <v>250.708038806915</v>
      </c>
      <c r="D2" s="75" t="s">
        <v>3</v>
      </c>
      <c r="E2" s="74">
        <v>2.22166395187377</v>
      </c>
      <c r="F2" s="75" t="s">
        <v>4</v>
      </c>
      <c r="G2" s="74">
        <v>73.9077913761138</v>
      </c>
      <c r="H2" s="75" t="s">
        <v>5</v>
      </c>
      <c r="I2" s="95">
        <v>318.197614669799</v>
      </c>
    </row>
    <row r="3" ht="22.5" customHeight="1" spans="1:9">
      <c r="A3" s="76"/>
      <c r="B3" s="77" t="s">
        <v>6</v>
      </c>
      <c r="C3" s="77" t="s">
        <v>7</v>
      </c>
      <c r="D3" s="77" t="s">
        <v>8</v>
      </c>
      <c r="E3" s="77" t="s">
        <v>9</v>
      </c>
      <c r="F3" s="77" t="s">
        <v>10</v>
      </c>
      <c r="G3" s="77" t="s">
        <v>11</v>
      </c>
      <c r="H3" s="87" t="s">
        <v>12</v>
      </c>
      <c r="I3" s="87" t="s">
        <v>13</v>
      </c>
    </row>
    <row r="4" ht="409" customHeight="1" spans="1:9">
      <c r="A4" s="78" t="s">
        <v>15</v>
      </c>
      <c r="B4" s="79" t="s">
        <v>16</v>
      </c>
      <c r="C4" s="80">
        <v>128.441012382507</v>
      </c>
      <c r="D4" s="80">
        <v>4.4578e-5</v>
      </c>
      <c r="E4" s="80">
        <v>59.2495223522186</v>
      </c>
      <c r="F4" s="83">
        <f t="shared" ref="F4:F13" si="0">C4/E4</f>
        <v>2.16779827555348</v>
      </c>
      <c r="G4" s="88">
        <v>7599701</v>
      </c>
      <c r="H4" s="89" t="s">
        <v>58</v>
      </c>
      <c r="I4" s="89" t="s">
        <v>59</v>
      </c>
    </row>
    <row r="5" ht="409" customHeight="1" spans="1:9">
      <c r="A5" s="78" t="s">
        <v>19</v>
      </c>
      <c r="B5" s="81" t="s">
        <v>20</v>
      </c>
      <c r="C5" s="80">
        <v>23.3778747558593</v>
      </c>
      <c r="D5" s="80">
        <f>0.000013513+0.000026367</f>
        <v>3.988e-5</v>
      </c>
      <c r="E5" s="80">
        <v>18.8229584693908</v>
      </c>
      <c r="F5" s="83">
        <f t="shared" si="0"/>
        <v>1.24198726751034</v>
      </c>
      <c r="G5" s="88">
        <v>7595203</v>
      </c>
      <c r="H5" s="89" t="s">
        <v>60</v>
      </c>
      <c r="I5" s="89" t="s">
        <v>61</v>
      </c>
    </row>
    <row r="6" ht="204" customHeight="1" spans="1:9">
      <c r="A6" s="78" t="s">
        <v>23</v>
      </c>
      <c r="B6" s="81" t="s">
        <v>24</v>
      </c>
      <c r="C6" s="80">
        <v>20127.2240597724</v>
      </c>
      <c r="D6" s="80">
        <v>4.7077e-5</v>
      </c>
      <c r="E6" s="80">
        <v>19713.7696801185</v>
      </c>
      <c r="F6" s="83">
        <f t="shared" si="0"/>
        <v>1.02097287258412</v>
      </c>
      <c r="G6" s="88">
        <v>8231323715</v>
      </c>
      <c r="H6" s="89" t="s">
        <v>62</v>
      </c>
      <c r="I6" s="89" t="s">
        <v>63</v>
      </c>
    </row>
    <row r="7" ht="409" customHeight="1" spans="1:9">
      <c r="A7" s="78" t="s">
        <v>27</v>
      </c>
      <c r="B7" s="81" t="s">
        <v>28</v>
      </c>
      <c r="C7" s="80">
        <v>180.398776435852</v>
      </c>
      <c r="D7" s="80">
        <v>2.6481e-5</v>
      </c>
      <c r="E7" s="80">
        <v>171.922626209259</v>
      </c>
      <c r="F7" s="83">
        <f t="shared" si="0"/>
        <v>1.04930212161997</v>
      </c>
      <c r="G7" s="90">
        <v>21865475</v>
      </c>
      <c r="H7" s="89" t="s">
        <v>64</v>
      </c>
      <c r="I7" s="89" t="s">
        <v>65</v>
      </c>
    </row>
    <row r="8" ht="409" customHeight="1" spans="1:9">
      <c r="A8" s="78" t="s">
        <v>31</v>
      </c>
      <c r="B8" s="81" t="s">
        <v>32</v>
      </c>
      <c r="C8" s="82">
        <v>482.300374984741</v>
      </c>
      <c r="D8" s="80">
        <v>3.1578e-5</v>
      </c>
      <c r="E8" s="82">
        <v>395.832088327407</v>
      </c>
      <c r="F8" s="83">
        <f t="shared" si="0"/>
        <v>1.21844688494737</v>
      </c>
      <c r="G8" s="91">
        <v>21865475</v>
      </c>
      <c r="H8" s="89" t="s">
        <v>66</v>
      </c>
      <c r="I8" s="89" t="s">
        <v>67</v>
      </c>
    </row>
    <row r="9" ht="253.5" customHeight="1" spans="1:9">
      <c r="A9" s="78" t="s">
        <v>35</v>
      </c>
      <c r="B9" s="81" t="s">
        <v>36</v>
      </c>
      <c r="C9" s="82">
        <v>2019.42574954032</v>
      </c>
      <c r="D9" s="80">
        <v>7.7045e-5</v>
      </c>
      <c r="E9" s="82">
        <v>1791.18197832107</v>
      </c>
      <c r="F9" s="83">
        <f t="shared" si="0"/>
        <v>1.12742634415806</v>
      </c>
      <c r="G9" s="91">
        <v>147197952</v>
      </c>
      <c r="H9" s="89" t="s">
        <v>68</v>
      </c>
      <c r="I9" s="89" t="s">
        <v>69</v>
      </c>
    </row>
    <row r="10" ht="409" customHeight="1" spans="1:9">
      <c r="A10" s="78" t="s">
        <v>39</v>
      </c>
      <c r="B10" s="81" t="s">
        <v>40</v>
      </c>
      <c r="C10" s="82">
        <v>1241.4706539154</v>
      </c>
      <c r="D10" s="80">
        <v>3.0837e-5</v>
      </c>
      <c r="E10" s="82">
        <v>908.884086561203</v>
      </c>
      <c r="F10" s="83">
        <f t="shared" si="0"/>
        <v>1.3659284745677</v>
      </c>
      <c r="G10" s="91">
        <v>37284779</v>
      </c>
      <c r="H10" s="89" t="s">
        <v>70</v>
      </c>
      <c r="I10" s="89" t="s">
        <v>71</v>
      </c>
    </row>
    <row r="11" ht="55.5" customHeight="1" spans="1:9">
      <c r="A11" s="78" t="s">
        <v>43</v>
      </c>
      <c r="B11" s="81" t="s">
        <v>44</v>
      </c>
      <c r="C11" s="82">
        <v>0.0773079872131347</v>
      </c>
      <c r="D11" s="83">
        <v>0</v>
      </c>
      <c r="E11" s="82">
        <v>0.121116685867309</v>
      </c>
      <c r="F11" s="83">
        <f t="shared" si="0"/>
        <v>0.63829344949077</v>
      </c>
      <c r="G11" s="91"/>
      <c r="H11" s="92" t="s">
        <v>72</v>
      </c>
      <c r="I11" s="96"/>
    </row>
    <row r="12" ht="72" customHeight="1" spans="1:9">
      <c r="A12" s="78" t="s">
        <v>46</v>
      </c>
      <c r="B12" s="79" t="s">
        <v>47</v>
      </c>
      <c r="C12" s="80">
        <v>0.0539200782775878</v>
      </c>
      <c r="D12" s="83">
        <v>0</v>
      </c>
      <c r="E12" s="80">
        <v>0.106514501571655</v>
      </c>
      <c r="F12" s="83">
        <f t="shared" si="0"/>
        <v>0.506222884977915</v>
      </c>
      <c r="G12" s="90"/>
      <c r="H12" s="92" t="s">
        <v>73</v>
      </c>
      <c r="I12" s="96"/>
    </row>
    <row r="13" ht="369" customHeight="1" spans="1:9">
      <c r="A13" s="78" t="s">
        <v>49</v>
      </c>
      <c r="B13" s="81" t="s">
        <v>50</v>
      </c>
      <c r="C13" s="82">
        <v>0.0447766304016113</v>
      </c>
      <c r="D13" s="83">
        <v>0</v>
      </c>
      <c r="E13" s="82">
        <v>0.148543882369995</v>
      </c>
      <c r="F13" s="83">
        <f t="shared" si="0"/>
        <v>0.30143705474239</v>
      </c>
      <c r="G13" s="91"/>
      <c r="H13" s="92" t="s">
        <v>74</v>
      </c>
      <c r="I13" s="96"/>
    </row>
    <row r="14" ht="22.5" customHeight="1" spans="1:9">
      <c r="A14" s="78"/>
      <c r="B14" s="79"/>
      <c r="C14" s="83">
        <f>SUM(C4:C13)</f>
        <v>24202.814506483</v>
      </c>
      <c r="D14" s="83">
        <f>E14+C2+E2+G2+I2</f>
        <v>23705.0742242336</v>
      </c>
      <c r="E14" s="83">
        <f>SUM(E4:E13)</f>
        <v>23060.0391154289</v>
      </c>
      <c r="F14" s="80">
        <f>GEOMEAN(F4:F13)</f>
        <v>0.937979248457233</v>
      </c>
      <c r="G14" s="82">
        <f>C14/D14</f>
        <v>1.02099720412352</v>
      </c>
      <c r="H14" s="93">
        <f>C14/E14</f>
        <v>1.0495565243985</v>
      </c>
      <c r="I14" s="92"/>
    </row>
    <row r="15" ht="22.5" customHeight="1" spans="1:9">
      <c r="A15" s="84"/>
      <c r="B15" s="85"/>
      <c r="C15" s="86" t="s">
        <v>52</v>
      </c>
      <c r="D15" s="86" t="s">
        <v>53</v>
      </c>
      <c r="E15" s="86" t="s">
        <v>54</v>
      </c>
      <c r="F15" s="86" t="s">
        <v>55</v>
      </c>
      <c r="G15" s="94" t="s">
        <v>56</v>
      </c>
      <c r="H15" s="92" t="s">
        <v>57</v>
      </c>
      <c r="I15" s="92"/>
    </row>
  </sheetData>
  <sheetProtection formatCells="0" formatColumns="0" formatRows="0" insertRows="0" insertColumns="0" insertHyperlinks="0" deleteColumns="0" deleteRows="0" sort="0" autoFilter="0" pivotTables="0"/>
  <mergeCells count="1">
    <mergeCell ref="A1:I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opLeftCell="G2" workbookViewId="0">
      <selection activeCell="G2" sqref="G2"/>
    </sheetView>
  </sheetViews>
  <sheetFormatPr defaultColWidth="9" defaultRowHeight="13.5"/>
  <cols>
    <col min="2" max="2" width="45.75" customWidth="1"/>
    <col min="3" max="3" width="40.5" customWidth="1"/>
    <col min="4" max="4" width="43" customWidth="1"/>
    <col min="5" max="5" width="20.75"/>
    <col min="6" max="6" width="36.5" customWidth="1"/>
    <col min="7" max="7" width="28" customWidth="1"/>
    <col min="8" max="8" width="77.5833333333333" customWidth="1"/>
    <col min="9" max="9" width="73.25" customWidth="1"/>
    <col min="10" max="10" width="19"/>
  </cols>
  <sheetData>
    <row r="1" ht="135.5" customHeight="1" spans="2:7">
      <c r="B1" s="8" t="s">
        <v>75</v>
      </c>
      <c r="C1" s="9"/>
      <c r="D1" s="9"/>
      <c r="E1" s="9"/>
      <c r="F1" s="9"/>
      <c r="G1" s="9"/>
    </row>
    <row r="2" ht="168.5" customHeight="1" spans="1:9">
      <c r="A2" s="10" t="s">
        <v>76</v>
      </c>
      <c r="B2" s="8" t="s">
        <v>2</v>
      </c>
      <c r="C2" s="53">
        <v>12.053</v>
      </c>
      <c r="D2" s="8" t="s">
        <v>3</v>
      </c>
      <c r="E2" s="53">
        <v>0.527</v>
      </c>
      <c r="F2" s="8" t="s">
        <v>4</v>
      </c>
      <c r="G2" s="53">
        <v>5.384</v>
      </c>
      <c r="H2" s="8" t="s">
        <v>5</v>
      </c>
      <c r="I2" s="63">
        <v>20.804</v>
      </c>
    </row>
    <row r="3" ht="16.5" spans="1:10">
      <c r="A3" s="11"/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4" t="s">
        <v>12</v>
      </c>
      <c r="I3" s="4" t="s">
        <v>13</v>
      </c>
      <c r="J3" s="47" t="s">
        <v>77</v>
      </c>
    </row>
    <row r="4" ht="121" customHeight="1" spans="1:10">
      <c r="A4" s="13" t="s">
        <v>15</v>
      </c>
      <c r="B4" s="14" t="s">
        <v>16</v>
      </c>
      <c r="C4" s="54">
        <v>2.16663799285888</v>
      </c>
      <c r="D4" s="54">
        <v>0.00522518157958984</v>
      </c>
      <c r="E4" s="57">
        <v>0.368417978286743</v>
      </c>
      <c r="F4" s="58">
        <f t="shared" ref="F4:F13" si="0">C4/E4</f>
        <v>5.88092362629645</v>
      </c>
      <c r="G4" s="58">
        <v>713258</v>
      </c>
      <c r="H4" s="25" t="s">
        <v>78</v>
      </c>
      <c r="I4" s="25" t="s">
        <v>79</v>
      </c>
      <c r="J4" s="67">
        <f>3598451/1446301</f>
        <v>2.48803741406526</v>
      </c>
    </row>
    <row r="5" ht="156.5" customHeight="1" spans="1:10">
      <c r="A5" s="13" t="s">
        <v>19</v>
      </c>
      <c r="B5" s="17" t="s">
        <v>20</v>
      </c>
      <c r="C5" s="54">
        <v>1.5870050907135</v>
      </c>
      <c r="D5" s="54">
        <v>0.00671887397766113</v>
      </c>
      <c r="E5" s="54">
        <v>0.82969913482666</v>
      </c>
      <c r="F5" s="58">
        <f t="shared" si="0"/>
        <v>1.91274767454718</v>
      </c>
      <c r="G5" s="58">
        <v>711775</v>
      </c>
      <c r="H5" s="25" t="s">
        <v>80</v>
      </c>
      <c r="I5" s="25" t="s">
        <v>81</v>
      </c>
      <c r="J5" s="68">
        <f>5035434/2184153</f>
        <v>2.30544014086925</v>
      </c>
    </row>
    <row r="6" ht="123.5" customHeight="1" spans="1:10">
      <c r="A6" s="13" t="s">
        <v>23</v>
      </c>
      <c r="B6" s="17" t="s">
        <v>24</v>
      </c>
      <c r="C6" s="54">
        <v>288.207760238647</v>
      </c>
      <c r="D6" s="54">
        <v>0.00906705856323242</v>
      </c>
      <c r="E6" s="54">
        <v>234.966832542419</v>
      </c>
      <c r="F6" s="58">
        <f t="shared" si="0"/>
        <v>1.22658911949463</v>
      </c>
      <c r="G6" s="58">
        <v>465885573</v>
      </c>
      <c r="H6" s="25" t="s">
        <v>82</v>
      </c>
      <c r="I6" s="25" t="s">
        <v>83</v>
      </c>
      <c r="J6" s="67">
        <f>16867864/13895395</f>
        <v>1.21391756045798</v>
      </c>
    </row>
    <row r="7" ht="97.5" customHeight="1" spans="1:10">
      <c r="A7" s="13" t="s">
        <v>27</v>
      </c>
      <c r="B7" s="18" t="s">
        <v>28</v>
      </c>
      <c r="C7" s="54">
        <v>4.38413343429565</v>
      </c>
      <c r="D7" s="54">
        <v>0.00966525077819824</v>
      </c>
      <c r="E7" s="54">
        <v>3.19191613197326</v>
      </c>
      <c r="F7" s="58">
        <f t="shared" si="0"/>
        <v>1.37351147493507</v>
      </c>
      <c r="G7" s="58">
        <v>2052169</v>
      </c>
      <c r="H7" s="25" t="s">
        <v>84</v>
      </c>
      <c r="I7" s="25" t="s">
        <v>85</v>
      </c>
      <c r="J7" s="68">
        <f>10170928/8118759</f>
        <v>1.2527688037051</v>
      </c>
    </row>
    <row r="8" ht="409.5" spans="1:10">
      <c r="A8" s="13" t="s">
        <v>31</v>
      </c>
      <c r="B8" s="17" t="s">
        <v>32</v>
      </c>
      <c r="C8" s="54">
        <v>3.85614285469055</v>
      </c>
      <c r="D8" s="54">
        <v>0.0126957893371582</v>
      </c>
      <c r="E8" s="54">
        <v>2.7021577835083</v>
      </c>
      <c r="F8" s="58">
        <f t="shared" si="0"/>
        <v>1.42706058033517</v>
      </c>
      <c r="G8" s="58">
        <v>2052169</v>
      </c>
      <c r="H8" s="25" t="s">
        <v>86</v>
      </c>
      <c r="I8" s="25" t="s">
        <v>87</v>
      </c>
      <c r="J8" s="68">
        <f>9458583/7406414</f>
        <v>1.27707997419534</v>
      </c>
    </row>
    <row r="9" ht="216.25" customHeight="1" spans="1:10">
      <c r="A9" s="13" t="s">
        <v>35</v>
      </c>
      <c r="B9" s="17" t="s">
        <v>36</v>
      </c>
      <c r="C9" s="54">
        <v>18.2930350780487</v>
      </c>
      <c r="D9" s="54">
        <v>0.0113027095794677</v>
      </c>
      <c r="E9" s="54">
        <v>12.9667850494384</v>
      </c>
      <c r="F9" s="58">
        <f t="shared" si="0"/>
        <v>1.41076103354092</v>
      </c>
      <c r="G9" s="58">
        <v>28372625</v>
      </c>
      <c r="H9" s="25" t="s">
        <v>88</v>
      </c>
      <c r="I9" s="25" t="s">
        <v>89</v>
      </c>
      <c r="J9" s="67">
        <f>2199/1839</f>
        <v>1.19575856443719</v>
      </c>
    </row>
    <row r="10" ht="191" customHeight="1" spans="1:10">
      <c r="A10" s="13" t="s">
        <v>39</v>
      </c>
      <c r="B10" s="17" t="s">
        <v>40</v>
      </c>
      <c r="C10" s="54">
        <v>2.92755532264709</v>
      </c>
      <c r="D10" s="54">
        <v>0.00905060768127441</v>
      </c>
      <c r="E10" s="54">
        <v>1.76502656936645</v>
      </c>
      <c r="F10" s="58">
        <f t="shared" si="0"/>
        <v>1.65864660252561</v>
      </c>
      <c r="G10" s="58">
        <v>3488413</v>
      </c>
      <c r="H10" s="25" t="s">
        <v>90</v>
      </c>
      <c r="I10" s="25" t="s">
        <v>91</v>
      </c>
      <c r="J10" s="68">
        <f>9148761/7008987</f>
        <v>1.30529005118714</v>
      </c>
    </row>
    <row r="11" ht="110" customHeight="1" spans="1:9">
      <c r="A11" s="13" t="s">
        <v>43</v>
      </c>
      <c r="B11" s="19" t="s">
        <v>44</v>
      </c>
      <c r="C11" s="54">
        <v>0.0692959427833557</v>
      </c>
      <c r="D11" s="55">
        <v>0</v>
      </c>
      <c r="E11" s="54">
        <v>0.16028755903244</v>
      </c>
      <c r="F11" s="58">
        <f t="shared" si="0"/>
        <v>0.432322653122013</v>
      </c>
      <c r="G11" s="59"/>
      <c r="H11" s="60"/>
      <c r="I11" s="60"/>
    </row>
    <row r="12" ht="127.5" customHeight="1" spans="1:10">
      <c r="A12" s="13" t="s">
        <v>46</v>
      </c>
      <c r="B12" s="14" t="s">
        <v>47</v>
      </c>
      <c r="C12" s="54">
        <v>0.0539883971214294</v>
      </c>
      <c r="D12" s="55">
        <v>0</v>
      </c>
      <c r="E12" s="54">
        <v>0.125258922576904</v>
      </c>
      <c r="F12" s="58">
        <f t="shared" si="0"/>
        <v>0.431014382135394</v>
      </c>
      <c r="G12" s="61"/>
      <c r="H12" s="60"/>
      <c r="I12" s="60"/>
      <c r="J12" s="33"/>
    </row>
    <row r="13" ht="409.5" spans="1:9">
      <c r="A13" s="13" t="s">
        <v>49</v>
      </c>
      <c r="B13" s="17" t="s">
        <v>50</v>
      </c>
      <c r="C13" s="54">
        <v>0.0561485290527343</v>
      </c>
      <c r="D13" s="56">
        <v>0</v>
      </c>
      <c r="E13" s="54">
        <v>0.0667465329170227</v>
      </c>
      <c r="F13" s="58">
        <f t="shared" si="0"/>
        <v>0.841220159293315</v>
      </c>
      <c r="G13" s="59"/>
      <c r="H13" s="60"/>
      <c r="I13" s="60"/>
    </row>
    <row r="14" ht="21" spans="1:9">
      <c r="A14" s="13"/>
      <c r="B14" s="14"/>
      <c r="C14" s="23">
        <f>SUM(C4:C13)</f>
        <v>321.601702880859</v>
      </c>
      <c r="D14" s="23">
        <f>E14+C2+E2+G2+I2</f>
        <v>295.911128204345</v>
      </c>
      <c r="E14" s="62">
        <f>SUM(E4:E13)</f>
        <v>257.143128204345</v>
      </c>
      <c r="F14" s="20">
        <f>GEOMEAN(F4:F13)</f>
        <v>1.25790944408506</v>
      </c>
      <c r="G14" s="62">
        <f>C14/D14</f>
        <v>1.08681854863793</v>
      </c>
      <c r="H14" s="23">
        <f>C14/E14</f>
        <v>1.25067197061276</v>
      </c>
      <c r="I14" s="27"/>
    </row>
    <row r="15" ht="32" customHeight="1" spans="3:9">
      <c r="C15" s="24" t="s">
        <v>52</v>
      </c>
      <c r="D15" s="24" t="s">
        <v>53</v>
      </c>
      <c r="E15" s="24" t="s">
        <v>54</v>
      </c>
      <c r="F15" s="24" t="s">
        <v>55</v>
      </c>
      <c r="G15" s="24" t="s">
        <v>56</v>
      </c>
      <c r="H15" s="24" t="s">
        <v>57</v>
      </c>
      <c r="I15" s="24"/>
    </row>
    <row r="19" ht="20.25" spans="4:6">
      <c r="D19" s="64"/>
      <c r="E19" s="65"/>
      <c r="F19" s="65"/>
    </row>
    <row r="20" spans="4:6">
      <c r="D20" s="65"/>
      <c r="E20" s="65"/>
      <c r="F20" s="65"/>
    </row>
    <row r="21" spans="4:6">
      <c r="D21" s="65"/>
      <c r="E21" s="65"/>
      <c r="F21" s="65"/>
    </row>
    <row r="22" ht="20.25" spans="4:6">
      <c r="D22" s="65"/>
      <c r="E22" s="65"/>
      <c r="F22" s="66"/>
    </row>
  </sheetData>
  <sheetProtection formatCells="0" formatColumns="0" formatRows="0" insertRows="0" insertColumns="0" insertHyperlinks="0" deleteColumns="0" deleteRows="0" sort="0" autoFilter="0" pivotTables="0"/>
  <mergeCells count="1">
    <mergeCell ref="B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A1" sqref="A1"/>
    </sheetView>
  </sheetViews>
  <sheetFormatPr defaultColWidth="9" defaultRowHeight="13.5"/>
  <cols>
    <col min="1" max="1" width="26.375" customWidth="1"/>
    <col min="2" max="2" width="60.0833333333333" customWidth="1"/>
    <col min="3" max="3" width="27.75" customWidth="1"/>
    <col min="4" max="4" width="56.75" customWidth="1"/>
    <col min="5" max="5" width="24.75" customWidth="1"/>
    <col min="6" max="6" width="56.3333333333333" customWidth="1"/>
    <col min="7" max="7" width="30.75" customWidth="1"/>
    <col min="8" max="8" width="58.5" customWidth="1"/>
    <col min="9" max="9" width="47.5" customWidth="1"/>
  </cols>
  <sheetData>
    <row r="1" ht="138.75" customHeight="1" spans="2:7">
      <c r="B1" s="8" t="s">
        <v>75</v>
      </c>
      <c r="C1" s="9"/>
      <c r="D1" s="9"/>
      <c r="E1" s="9"/>
      <c r="F1" s="9"/>
      <c r="G1" s="9"/>
    </row>
    <row r="2" ht="90" spans="1:9">
      <c r="A2" s="10" t="s">
        <v>76</v>
      </c>
      <c r="B2" s="8" t="s">
        <v>2</v>
      </c>
      <c r="C2" s="53">
        <v>126.471</v>
      </c>
      <c r="D2" s="8" t="s">
        <v>3</v>
      </c>
      <c r="E2" s="53">
        <v>0.401</v>
      </c>
      <c r="F2" s="8" t="s">
        <v>4</v>
      </c>
      <c r="G2" s="53">
        <v>42.806</v>
      </c>
      <c r="H2" s="8" t="s">
        <v>5</v>
      </c>
      <c r="I2" s="63">
        <v>302.841</v>
      </c>
    </row>
    <row r="3" ht="16.5" spans="1:9">
      <c r="A3" s="11"/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4" t="s">
        <v>12</v>
      </c>
      <c r="I3" s="4" t="s">
        <v>13</v>
      </c>
    </row>
    <row r="4" ht="409.5" spans="1:9">
      <c r="A4" s="13" t="s">
        <v>15</v>
      </c>
      <c r="B4" s="14" t="s">
        <v>16</v>
      </c>
      <c r="C4" s="54">
        <v>11.655856513977</v>
      </c>
      <c r="D4" s="54">
        <v>0.00598859786987304</v>
      </c>
      <c r="E4" s="57">
        <v>3.83629150390625</v>
      </c>
      <c r="F4" s="58">
        <f t="shared" ref="F4:F13" si="0">C4/E4</f>
        <v>3.03831356457365</v>
      </c>
      <c r="G4" s="58">
        <v>7599701</v>
      </c>
      <c r="H4" s="25" t="s">
        <v>92</v>
      </c>
      <c r="I4" s="25" t="s">
        <v>93</v>
      </c>
    </row>
    <row r="5" ht="409.5" spans="1:9">
      <c r="A5" s="13" t="s">
        <v>19</v>
      </c>
      <c r="B5" s="17" t="s">
        <v>20</v>
      </c>
      <c r="C5" s="54">
        <v>18.5647042274475</v>
      </c>
      <c r="D5" s="54">
        <v>0.0117890834808349</v>
      </c>
      <c r="E5" s="54">
        <v>10.2834725379943</v>
      </c>
      <c r="F5" s="58">
        <f t="shared" si="0"/>
        <v>1.8052952598314</v>
      </c>
      <c r="G5" s="58">
        <v>7595203</v>
      </c>
      <c r="H5" s="25" t="s">
        <v>94</v>
      </c>
      <c r="I5" s="25" t="s">
        <v>95</v>
      </c>
    </row>
    <row r="6" ht="409.5" spans="1:9">
      <c r="A6" s="13" t="s">
        <v>23</v>
      </c>
      <c r="B6" s="17" t="s">
        <v>24</v>
      </c>
      <c r="C6" s="54">
        <v>5890.04817504882</v>
      </c>
      <c r="D6" s="54">
        <v>0.00736522674560546</v>
      </c>
      <c r="E6" s="54">
        <v>4442.95589313507</v>
      </c>
      <c r="F6" s="58">
        <f t="shared" si="0"/>
        <v>1.32570484981624</v>
      </c>
      <c r="G6" s="58">
        <v>8231323715</v>
      </c>
      <c r="H6" s="25" t="s">
        <v>96</v>
      </c>
      <c r="I6" s="25" t="s">
        <v>97</v>
      </c>
    </row>
    <row r="7" ht="409.5" spans="1:9">
      <c r="A7" s="13" t="s">
        <v>27</v>
      </c>
      <c r="B7" s="18" t="s">
        <v>28</v>
      </c>
      <c r="C7" s="54">
        <v>50.7258668422698</v>
      </c>
      <c r="D7" s="54">
        <v>0.0112254619598388</v>
      </c>
      <c r="E7" s="54">
        <v>28.215404176712</v>
      </c>
      <c r="F7" s="58">
        <f t="shared" si="0"/>
        <v>1.79780755663026</v>
      </c>
      <c r="G7" s="58">
        <v>21865475</v>
      </c>
      <c r="H7" s="25" t="s">
        <v>98</v>
      </c>
      <c r="I7" s="25" t="s">
        <v>99</v>
      </c>
    </row>
    <row r="8" ht="409.5" spans="1:9">
      <c r="A8" s="13" t="s">
        <v>31</v>
      </c>
      <c r="B8" s="17" t="s">
        <v>32</v>
      </c>
      <c r="C8" s="54">
        <v>71.5505393981933</v>
      </c>
      <c r="D8" s="54">
        <v>0.0120177268981933</v>
      </c>
      <c r="E8" s="54">
        <v>30.2107545375823</v>
      </c>
      <c r="F8" s="58">
        <f t="shared" si="0"/>
        <v>2.36837975394438</v>
      </c>
      <c r="G8" s="58">
        <v>21865475</v>
      </c>
      <c r="H8" s="25" t="s">
        <v>100</v>
      </c>
      <c r="I8" s="25" t="s">
        <v>101</v>
      </c>
    </row>
    <row r="9" ht="409.5" spans="1:9">
      <c r="A9" s="13" t="s">
        <v>35</v>
      </c>
      <c r="B9" s="17" t="s">
        <v>36</v>
      </c>
      <c r="C9" s="54">
        <v>95.994800043106</v>
      </c>
      <c r="D9" s="54">
        <v>0.0123772621154785</v>
      </c>
      <c r="E9" s="54">
        <v>66.7196718692779</v>
      </c>
      <c r="F9" s="58">
        <f t="shared" si="0"/>
        <v>1.438778059808</v>
      </c>
      <c r="G9" s="58">
        <v>147197952</v>
      </c>
      <c r="H9" s="25" t="s">
        <v>102</v>
      </c>
      <c r="I9" s="25" t="s">
        <v>103</v>
      </c>
    </row>
    <row r="10" ht="409.5" spans="1:9">
      <c r="A10" s="13" t="s">
        <v>39</v>
      </c>
      <c r="B10" s="17" t="s">
        <v>40</v>
      </c>
      <c r="C10" s="54">
        <v>98.4641300201416</v>
      </c>
      <c r="D10" s="54">
        <v>0.0102827548980712</v>
      </c>
      <c r="E10" s="54">
        <v>17.7899767875671</v>
      </c>
      <c r="F10" s="58">
        <f t="shared" si="0"/>
        <v>5.53480935899564</v>
      </c>
      <c r="G10" s="58">
        <v>37284779</v>
      </c>
      <c r="H10" s="25" t="s">
        <v>104</v>
      </c>
      <c r="I10" s="25" t="s">
        <v>105</v>
      </c>
    </row>
    <row r="11" ht="54" spans="1:9">
      <c r="A11" s="13" t="s">
        <v>43</v>
      </c>
      <c r="B11" s="19" t="s">
        <v>44</v>
      </c>
      <c r="C11" s="54">
        <v>0.0830744504928588</v>
      </c>
      <c r="D11" s="55">
        <v>0</v>
      </c>
      <c r="E11" s="54">
        <v>0.121277809143066</v>
      </c>
      <c r="F11" s="58">
        <f t="shared" si="0"/>
        <v>0.684993001439032</v>
      </c>
      <c r="G11" s="59"/>
      <c r="H11" s="60"/>
      <c r="I11" s="60"/>
    </row>
    <row r="12" ht="84" spans="1:9">
      <c r="A12" s="13" t="s">
        <v>46</v>
      </c>
      <c r="B12" s="14" t="s">
        <v>47</v>
      </c>
      <c r="C12" s="54">
        <v>0.058555781841278</v>
      </c>
      <c r="D12" s="55">
        <v>0</v>
      </c>
      <c r="E12" s="54">
        <v>0.0730316042900085</v>
      </c>
      <c r="F12" s="58">
        <f t="shared" si="0"/>
        <v>0.801786875840122</v>
      </c>
      <c r="G12" s="61"/>
      <c r="H12" s="60"/>
      <c r="I12" s="60"/>
    </row>
    <row r="13" ht="409.5" spans="1:9">
      <c r="A13" s="13" t="s">
        <v>49</v>
      </c>
      <c r="B13" s="17" t="s">
        <v>50</v>
      </c>
      <c r="C13" s="54">
        <v>0.0533751845359802</v>
      </c>
      <c r="D13" s="56">
        <v>0</v>
      </c>
      <c r="E13" s="54">
        <v>0.0628361701965332</v>
      </c>
      <c r="F13" s="58">
        <f t="shared" si="0"/>
        <v>0.849434081820044</v>
      </c>
      <c r="G13" s="59"/>
      <c r="H13" s="60"/>
      <c r="I13" s="60"/>
    </row>
    <row r="14" ht="21" spans="1:9">
      <c r="A14" s="13"/>
      <c r="B14" s="14"/>
      <c r="C14" s="23">
        <f>SUM(C4:C13)</f>
        <v>6237.19907751083</v>
      </c>
      <c r="D14" s="23">
        <f>E14+C2+E2+G2+I2</f>
        <v>5072.78761013174</v>
      </c>
      <c r="E14" s="62">
        <f>SUM(E4:E13)</f>
        <v>4600.26861013174</v>
      </c>
      <c r="F14" s="20">
        <f>GEOMEAN(F4:F13)</f>
        <v>1.60723486715138</v>
      </c>
      <c r="G14" s="62">
        <f>C14/D14</f>
        <v>1.22954074896679</v>
      </c>
      <c r="H14" s="23">
        <f>C14/E14</f>
        <v>1.35583367105431</v>
      </c>
      <c r="I14" s="27"/>
    </row>
    <row r="15" ht="18.75" spans="3:9">
      <c r="C15" s="24" t="s">
        <v>52</v>
      </c>
      <c r="D15" s="24" t="s">
        <v>53</v>
      </c>
      <c r="E15" s="24" t="s">
        <v>54</v>
      </c>
      <c r="F15" s="24" t="s">
        <v>55</v>
      </c>
      <c r="G15" s="24" t="s">
        <v>56</v>
      </c>
      <c r="H15" s="24" t="s">
        <v>57</v>
      </c>
      <c r="I15" s="24"/>
    </row>
  </sheetData>
  <sheetProtection formatCells="0" formatColumns="0" formatRows="0" insertRows="0" insertColumns="0" insertHyperlinks="0" deleteColumns="0" deleteRows="0" sort="0" autoFilter="0" pivotTables="0"/>
  <mergeCells count="1">
    <mergeCell ref="B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zoomScale="180" zoomScaleNormal="180" workbookViewId="0">
      <selection activeCell="A1" sqref="A1:B1"/>
    </sheetView>
  </sheetViews>
  <sheetFormatPr defaultColWidth="9" defaultRowHeight="13.5" outlineLevelCol="2"/>
  <cols>
    <col min="1" max="1" width="51.0416666666667" customWidth="1"/>
    <col min="2" max="2" width="31.9166666666667" customWidth="1"/>
  </cols>
  <sheetData>
    <row r="1" ht="47.25" spans="1:2">
      <c r="A1" s="1" t="s">
        <v>106</v>
      </c>
      <c r="B1" s="2"/>
    </row>
    <row r="2" spans="1:2">
      <c r="A2" s="3" t="s">
        <v>107</v>
      </c>
      <c r="B2" s="3" t="s">
        <v>108</v>
      </c>
    </row>
    <row r="3" ht="16.5" spans="1:2">
      <c r="A3" s="48" t="s">
        <v>109</v>
      </c>
      <c r="B3" s="49">
        <v>9892</v>
      </c>
    </row>
    <row r="4" ht="16.5" spans="1:2">
      <c r="A4" s="48" t="s">
        <v>110</v>
      </c>
      <c r="B4" s="49">
        <v>1003605</v>
      </c>
    </row>
    <row r="5" ht="16.5" spans="1:2">
      <c r="A5" s="48" t="s">
        <v>111</v>
      </c>
      <c r="B5" s="49">
        <v>90492</v>
      </c>
    </row>
    <row r="6" ht="16.5" spans="1:2">
      <c r="A6" s="48" t="s">
        <v>112</v>
      </c>
      <c r="B6" s="49">
        <v>2052169</v>
      </c>
    </row>
    <row r="7" ht="16.5" spans="1:2">
      <c r="A7" s="48" t="s">
        <v>113</v>
      </c>
      <c r="B7" s="49">
        <v>7955</v>
      </c>
    </row>
    <row r="8" ht="16.5" spans="1:2">
      <c r="A8" s="48" t="s">
        <v>114</v>
      </c>
      <c r="B8" s="49">
        <v>1460</v>
      </c>
    </row>
    <row r="9" ht="16.5" spans="1:2">
      <c r="A9" s="48" t="s">
        <v>115</v>
      </c>
      <c r="B9" s="49">
        <v>16080</v>
      </c>
    </row>
    <row r="10" ht="16.5" spans="1:2">
      <c r="A10" s="48" t="s">
        <v>116</v>
      </c>
      <c r="B10" s="48">
        <v>71</v>
      </c>
    </row>
    <row r="11" ht="15" spans="1:2">
      <c r="A11" s="10" t="s">
        <v>117</v>
      </c>
      <c r="B11" s="50">
        <f>SUM(B3:B10)</f>
        <v>3181724</v>
      </c>
    </row>
    <row r="12" ht="16.5" spans="1:2">
      <c r="A12" s="48"/>
      <c r="B12" s="48"/>
    </row>
    <row r="13" ht="16.5" spans="1:2">
      <c r="A13" s="48"/>
      <c r="B13" s="48"/>
    </row>
    <row r="14" spans="1:2">
      <c r="A14" s="3" t="s">
        <v>118</v>
      </c>
      <c r="B14" s="3" t="s">
        <v>108</v>
      </c>
    </row>
    <row r="15" ht="17.25" spans="1:3">
      <c r="A15" s="48" t="s">
        <v>119</v>
      </c>
      <c r="B15" s="51">
        <v>180623</v>
      </c>
      <c r="C15" s="47"/>
    </row>
    <row r="16" ht="16.5" spans="1:2">
      <c r="A16" s="48" t="s">
        <v>120</v>
      </c>
      <c r="B16" s="49">
        <v>751677</v>
      </c>
    </row>
    <row r="17" ht="17.25" spans="1:2">
      <c r="A17" s="48" t="s">
        <v>121</v>
      </c>
      <c r="B17" s="51">
        <v>1438418</v>
      </c>
    </row>
    <row r="18" ht="17.25" spans="1:2">
      <c r="A18" s="48" t="s">
        <v>122</v>
      </c>
      <c r="B18" s="51">
        <v>21654</v>
      </c>
    </row>
    <row r="19" ht="17.25" spans="1:2">
      <c r="A19" s="48" t="s">
        <v>123</v>
      </c>
      <c r="B19" s="51">
        <v>7949</v>
      </c>
    </row>
    <row r="20" ht="17.25" spans="1:2">
      <c r="A20" s="48" t="s">
        <v>124</v>
      </c>
      <c r="B20" s="51">
        <v>9892</v>
      </c>
    </row>
    <row r="21" ht="17.25" spans="1:2">
      <c r="A21" s="48" t="s">
        <v>125</v>
      </c>
      <c r="B21" s="51">
        <v>229166</v>
      </c>
    </row>
    <row r="22" ht="17.25" spans="1:2">
      <c r="A22" s="48" t="s">
        <v>126</v>
      </c>
      <c r="B22" s="51">
        <v>1003605</v>
      </c>
    </row>
    <row r="23" ht="17.25" spans="1:2">
      <c r="A23" s="48" t="s">
        <v>127</v>
      </c>
      <c r="B23" s="51">
        <v>1003605</v>
      </c>
    </row>
    <row r="24" ht="17.25" spans="1:2">
      <c r="A24" s="48" t="s">
        <v>128</v>
      </c>
      <c r="B24" s="51">
        <v>713258</v>
      </c>
    </row>
    <row r="25" ht="17.25" spans="1:2">
      <c r="A25" s="48" t="s">
        <v>129</v>
      </c>
      <c r="B25" s="51">
        <v>90492</v>
      </c>
    </row>
    <row r="26" ht="17.25" spans="1:2">
      <c r="A26" s="48" t="s">
        <v>130</v>
      </c>
      <c r="B26" s="51">
        <v>1611869</v>
      </c>
    </row>
    <row r="27" ht="17.25" spans="1:2">
      <c r="A27" s="48" t="s">
        <v>131</v>
      </c>
      <c r="B27" s="51">
        <v>1003605</v>
      </c>
    </row>
    <row r="28" ht="17.25" spans="1:2">
      <c r="A28" s="48" t="s">
        <v>132</v>
      </c>
      <c r="B28" s="51">
        <v>309766</v>
      </c>
    </row>
    <row r="29" ht="17.25" spans="1:2">
      <c r="A29" s="48" t="s">
        <v>133</v>
      </c>
      <c r="B29" s="51">
        <v>2052169</v>
      </c>
    </row>
    <row r="30" ht="17.25" spans="1:2">
      <c r="A30" s="48" t="s">
        <v>134</v>
      </c>
      <c r="B30" s="51">
        <v>2052169</v>
      </c>
    </row>
    <row r="31" ht="17.25" spans="1:2">
      <c r="A31" s="48" t="s">
        <v>135</v>
      </c>
      <c r="B31" s="51">
        <v>2698393</v>
      </c>
    </row>
    <row r="32" ht="17.25" spans="1:2">
      <c r="A32" s="48" t="s">
        <v>136</v>
      </c>
      <c r="B32" s="51">
        <v>1040749</v>
      </c>
    </row>
    <row r="33" ht="17.25" spans="1:2">
      <c r="A33" s="48" t="s">
        <v>137</v>
      </c>
      <c r="B33" s="51">
        <v>1011420</v>
      </c>
    </row>
    <row r="34" ht="17.25" spans="1:2">
      <c r="A34" s="48" t="s">
        <v>138</v>
      </c>
      <c r="B34" s="51">
        <v>7955</v>
      </c>
    </row>
    <row r="35" ht="17.25" spans="1:2">
      <c r="A35" s="48" t="s">
        <v>139</v>
      </c>
      <c r="B35" s="51">
        <v>1454</v>
      </c>
    </row>
    <row r="36" ht="17.25" spans="1:2">
      <c r="A36" s="52" t="s">
        <v>140</v>
      </c>
      <c r="B36" s="51">
        <v>16080</v>
      </c>
    </row>
    <row r="37" ht="17.25" spans="1:2">
      <c r="A37" s="52" t="s">
        <v>141</v>
      </c>
      <c r="B37" s="51">
        <v>70</v>
      </c>
    </row>
    <row r="38" ht="15" spans="1:2">
      <c r="A38" s="10" t="s">
        <v>117</v>
      </c>
      <c r="B38" s="50">
        <f>SUM(B15:B37)</f>
        <v>17256038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B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opLeftCell="B32" workbookViewId="0">
      <selection activeCell="A1" sqref="A1:B1"/>
    </sheetView>
  </sheetViews>
  <sheetFormatPr defaultColWidth="9" defaultRowHeight="13.5" outlineLevelCol="2"/>
  <cols>
    <col min="1" max="1" width="44.375" customWidth="1"/>
    <col min="2" max="2" width="44.25" customWidth="1"/>
  </cols>
  <sheetData>
    <row r="1" ht="47.25" spans="1:2">
      <c r="A1" s="1" t="s">
        <v>106</v>
      </c>
      <c r="B1" s="2"/>
    </row>
    <row r="2" spans="1:2">
      <c r="A2" s="3" t="s">
        <v>107</v>
      </c>
      <c r="B2" s="3" t="s">
        <v>108</v>
      </c>
    </row>
    <row r="3" ht="16.5" spans="1:2">
      <c r="A3" s="48" t="s">
        <v>109</v>
      </c>
      <c r="B3" s="49">
        <v>65645</v>
      </c>
    </row>
    <row r="4" ht="16.5" spans="1:2">
      <c r="A4" s="48" t="s">
        <v>110</v>
      </c>
      <c r="B4" s="49">
        <v>7435696</v>
      </c>
    </row>
    <row r="5" ht="16.5" spans="1:2">
      <c r="A5" s="48" t="s">
        <v>111</v>
      </c>
      <c r="B5" s="49">
        <v>595453</v>
      </c>
    </row>
    <row r="6" ht="16.5" spans="1:2">
      <c r="A6" s="48" t="s">
        <v>112</v>
      </c>
      <c r="B6" s="49">
        <v>21865475</v>
      </c>
    </row>
    <row r="7" ht="16.5" spans="1:2">
      <c r="A7" s="48" t="s">
        <v>113</v>
      </c>
      <c r="B7" s="49">
        <v>7955</v>
      </c>
    </row>
    <row r="8" ht="16.5" spans="1:2">
      <c r="A8" s="48" t="s">
        <v>114</v>
      </c>
      <c r="B8" s="49">
        <v>1460</v>
      </c>
    </row>
    <row r="9" ht="16.5" spans="1:2">
      <c r="A9" s="48" t="s">
        <v>115</v>
      </c>
      <c r="B9" s="49">
        <v>16080</v>
      </c>
    </row>
    <row r="10" ht="16.5" spans="1:2">
      <c r="A10" s="48" t="s">
        <v>116</v>
      </c>
      <c r="B10" s="48">
        <v>71</v>
      </c>
    </row>
    <row r="11" ht="15" spans="1:2">
      <c r="A11" s="10" t="s">
        <v>117</v>
      </c>
      <c r="B11" s="50">
        <f>SUM(B3:B10)</f>
        <v>29987835</v>
      </c>
    </row>
    <row r="12" ht="16.5" spans="1:2">
      <c r="A12" s="48"/>
      <c r="B12" s="48"/>
    </row>
    <row r="13" ht="16.5" spans="1:2">
      <c r="A13" s="48"/>
      <c r="B13" s="48"/>
    </row>
    <row r="14" spans="1:2">
      <c r="A14" s="3" t="s">
        <v>118</v>
      </c>
      <c r="B14" s="3" t="s">
        <v>108</v>
      </c>
    </row>
    <row r="15" ht="17.25" spans="1:3">
      <c r="A15" s="48" t="s">
        <v>119</v>
      </c>
      <c r="B15" s="51">
        <v>1938516</v>
      </c>
      <c r="C15" s="47"/>
    </row>
    <row r="16" ht="16.5" spans="1:2">
      <c r="A16" s="48" t="s">
        <v>120</v>
      </c>
      <c r="B16" s="49">
        <v>8839875</v>
      </c>
    </row>
    <row r="17" ht="17.25" spans="1:2">
      <c r="A17" s="48" t="s">
        <v>121</v>
      </c>
      <c r="B17" s="51">
        <v>19949360</v>
      </c>
    </row>
    <row r="18" ht="17.25" spans="1:2">
      <c r="A18" s="48" t="s">
        <v>122</v>
      </c>
      <c r="B18" s="51">
        <v>143553</v>
      </c>
    </row>
    <row r="19" ht="17.25" spans="1:2">
      <c r="A19" s="48" t="s">
        <v>123</v>
      </c>
      <c r="B19" s="51">
        <v>52632</v>
      </c>
    </row>
    <row r="20" ht="17.25" spans="1:2">
      <c r="A20" s="48" t="s">
        <v>124</v>
      </c>
      <c r="B20" s="51">
        <v>65645</v>
      </c>
    </row>
    <row r="21" ht="17.25" spans="1:2">
      <c r="A21" s="48" t="s">
        <v>125</v>
      </c>
      <c r="B21" s="51">
        <v>1535511</v>
      </c>
    </row>
    <row r="22" ht="17.25" spans="1:2">
      <c r="A22" s="48" t="s">
        <v>126</v>
      </c>
      <c r="B22" s="51">
        <v>7435696</v>
      </c>
    </row>
    <row r="23" ht="17.25" spans="1:2">
      <c r="A23" s="48" t="s">
        <v>127</v>
      </c>
      <c r="B23" s="51">
        <v>7435696</v>
      </c>
    </row>
    <row r="24" ht="17.25" spans="1:2">
      <c r="A24" s="48" t="s">
        <v>128</v>
      </c>
      <c r="B24" s="51">
        <v>7599701</v>
      </c>
    </row>
    <row r="25" ht="17.25" spans="1:2">
      <c r="A25" s="48" t="s">
        <v>129</v>
      </c>
      <c r="B25" s="51">
        <v>595453</v>
      </c>
    </row>
    <row r="26" ht="17.25" spans="1:2">
      <c r="A26" s="48" t="s">
        <v>130</v>
      </c>
      <c r="B26" s="51">
        <v>17168614</v>
      </c>
    </row>
    <row r="27" ht="17.25" spans="1:2">
      <c r="A27" s="48" t="s">
        <v>131</v>
      </c>
      <c r="B27" s="51">
        <v>7435696</v>
      </c>
    </row>
    <row r="28" ht="17.25" spans="1:2">
      <c r="A28" s="48" t="s">
        <v>132</v>
      </c>
      <c r="B28" s="51">
        <v>2065319</v>
      </c>
    </row>
    <row r="29" ht="17.25" spans="1:2">
      <c r="A29" s="48" t="s">
        <v>133</v>
      </c>
      <c r="B29" s="51">
        <v>21865475</v>
      </c>
    </row>
    <row r="30" ht="17.25" spans="1:2">
      <c r="A30" s="48" t="s">
        <v>134</v>
      </c>
      <c r="B30" s="51">
        <v>21865475</v>
      </c>
    </row>
    <row r="31" ht="17.25" spans="1:2">
      <c r="A31" s="48" t="s">
        <v>135</v>
      </c>
      <c r="B31" s="51">
        <v>28740194</v>
      </c>
    </row>
    <row r="32" ht="17.25" spans="1:2">
      <c r="A32" s="48" t="s">
        <v>136</v>
      </c>
      <c r="B32" s="51">
        <v>11089373</v>
      </c>
    </row>
    <row r="33" ht="17.25" spans="1:2">
      <c r="A33" s="48" t="s">
        <v>137</v>
      </c>
      <c r="B33" s="51">
        <v>10776102</v>
      </c>
    </row>
    <row r="34" ht="17.25" spans="1:2">
      <c r="A34" s="48" t="s">
        <v>138</v>
      </c>
      <c r="B34" s="51">
        <v>7955</v>
      </c>
    </row>
    <row r="35" ht="17.25" spans="1:2">
      <c r="A35" s="48" t="s">
        <v>139</v>
      </c>
      <c r="B35" s="51">
        <v>1454</v>
      </c>
    </row>
    <row r="36" ht="17.25" spans="1:2">
      <c r="A36" s="52" t="s">
        <v>140</v>
      </c>
      <c r="B36" s="51">
        <v>16080</v>
      </c>
    </row>
    <row r="37" ht="17.25" spans="1:2">
      <c r="A37" s="52" t="s">
        <v>141</v>
      </c>
      <c r="B37" s="51">
        <v>70</v>
      </c>
    </row>
    <row r="38" ht="15" spans="1:2">
      <c r="A38" s="10" t="s">
        <v>117</v>
      </c>
      <c r="B38" s="50">
        <f>SUM(B15:B37)</f>
        <v>176623445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B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topLeftCell="H23" workbookViewId="0">
      <selection activeCell="E11" sqref="E11"/>
    </sheetView>
  </sheetViews>
  <sheetFormatPr defaultColWidth="9" defaultRowHeight="13.5"/>
  <cols>
    <col min="1" max="1" width="10.375"/>
    <col min="2" max="2" width="16.1" customWidth="1"/>
    <col min="3" max="3" width="19.75" customWidth="1"/>
    <col min="4" max="4" width="12.625"/>
    <col min="5" max="5" width="21.25" customWidth="1"/>
    <col min="6" max="6" width="37.75" customWidth="1"/>
    <col min="7" max="7" width="30.25" customWidth="1"/>
    <col min="8" max="8" width="21" customWidth="1"/>
    <col min="9" max="9" width="12.625"/>
    <col min="11" max="11" width="16.625" customWidth="1"/>
    <col min="15" max="15" width="16.6666666666667" customWidth="1"/>
  </cols>
  <sheetData>
    <row r="1" ht="22.5" spans="1:19">
      <c r="A1" s="4"/>
      <c r="B1" s="38" t="s">
        <v>142</v>
      </c>
      <c r="C1" s="38"/>
      <c r="D1" s="38"/>
      <c r="E1" s="38"/>
      <c r="F1" s="38"/>
      <c r="G1" s="38"/>
      <c r="H1" s="38"/>
      <c r="I1" s="38"/>
      <c r="J1" s="38"/>
      <c r="K1" s="46"/>
      <c r="L1" s="46"/>
      <c r="M1" s="4"/>
      <c r="N1" s="38"/>
      <c r="O1" s="38"/>
      <c r="P1" s="38"/>
      <c r="Q1" s="4"/>
      <c r="R1" s="4"/>
      <c r="S1" s="4"/>
    </row>
    <row r="2" spans="1:19">
      <c r="A2" s="4" t="s">
        <v>143</v>
      </c>
      <c r="B2" s="4" t="s">
        <v>144</v>
      </c>
      <c r="C2" s="4" t="s">
        <v>9</v>
      </c>
      <c r="D2" s="4" t="s">
        <v>145</v>
      </c>
      <c r="E2" s="4" t="s">
        <v>146</v>
      </c>
      <c r="F2" s="4" t="s">
        <v>147</v>
      </c>
      <c r="G2" s="4" t="s">
        <v>148</v>
      </c>
      <c r="H2" s="4" t="s">
        <v>149</v>
      </c>
      <c r="I2" s="47" t="s">
        <v>150</v>
      </c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8">
      <c r="A3" s="36">
        <v>1</v>
      </c>
      <c r="B3" s="39">
        <v>0.021388816833496</v>
      </c>
      <c r="C3" s="39">
        <v>0.0505037307739257</v>
      </c>
      <c r="D3" s="36">
        <f>B3/C3</f>
        <v>0.423509639896519</v>
      </c>
      <c r="E3" s="5">
        <v>6</v>
      </c>
      <c r="F3" s="35">
        <f>14+57+4+4</f>
        <v>79</v>
      </c>
      <c r="G3" s="35">
        <f>E3/F3</f>
        <v>0.0759493670886076</v>
      </c>
      <c r="H3" s="36"/>
    </row>
    <row r="4" spans="1:8">
      <c r="A4" s="36">
        <v>10</v>
      </c>
      <c r="B4" s="39">
        <v>0.0253530979156494</v>
      </c>
      <c r="C4" s="39">
        <v>0.0578531265258789</v>
      </c>
      <c r="D4" s="36">
        <f>B4/C4</f>
        <v>0.438232113597325</v>
      </c>
      <c r="E4" s="5">
        <v>24</v>
      </c>
      <c r="F4" s="41">
        <f>68+336+4+4</f>
        <v>412</v>
      </c>
      <c r="G4" s="35">
        <f>E4/F4</f>
        <v>0.058252427184466</v>
      </c>
      <c r="H4" s="36"/>
    </row>
    <row r="5" spans="1:8">
      <c r="A5" s="36">
        <v>100</v>
      </c>
      <c r="B5" s="39">
        <v>0.0266991138458251</v>
      </c>
      <c r="C5" s="39">
        <v>0.0901103019714355</v>
      </c>
      <c r="D5" s="36">
        <f>B5/C5</f>
        <v>0.296293689641486</v>
      </c>
      <c r="E5" s="5">
        <v>204</v>
      </c>
      <c r="F5" s="41">
        <f>608+3126+4+4</f>
        <v>3742</v>
      </c>
      <c r="G5" s="35">
        <f>E5/F5</f>
        <v>0.0545163014430786</v>
      </c>
      <c r="H5" s="36"/>
    </row>
    <row r="6" spans="1:9">
      <c r="A6" s="36">
        <v>1000</v>
      </c>
      <c r="B6" s="39">
        <v>0.0469178199768066</v>
      </c>
      <c r="C6" s="39">
        <v>0.351263523101806</v>
      </c>
      <c r="D6" s="36">
        <f t="shared" ref="D6:D15" si="0">B6/C6</f>
        <v>0.133568722315663</v>
      </c>
      <c r="E6" s="5">
        <v>2004</v>
      </c>
      <c r="F6" s="5">
        <f>6008+31026+4+4</f>
        <v>37042</v>
      </c>
      <c r="G6" s="35">
        <f>E6/F6</f>
        <v>0.0541007504994331</v>
      </c>
      <c r="H6" s="42">
        <f>0.063842+0.052749</f>
        <v>0.116591</v>
      </c>
      <c r="I6" s="33">
        <f>B6/(C6-H6)</f>
        <v>0.19992890244101</v>
      </c>
    </row>
    <row r="7" spans="1:9">
      <c r="A7" s="36">
        <v>10000</v>
      </c>
      <c r="B7" s="39">
        <v>0.157042503356933</v>
      </c>
      <c r="C7" s="39">
        <v>10.5190046787261</v>
      </c>
      <c r="D7" s="36">
        <f t="shared" si="0"/>
        <v>0.0149294071210501</v>
      </c>
      <c r="E7" s="5">
        <v>20004</v>
      </c>
      <c r="F7" s="35">
        <f>60008+310026+4+4</f>
        <v>370042</v>
      </c>
      <c r="G7" s="35">
        <f>E7/F7</f>
        <v>0.0540587284686603</v>
      </c>
      <c r="H7" s="43">
        <f>4.84123+5.007257</f>
        <v>9.848487</v>
      </c>
      <c r="I7" s="33">
        <f>B7/(C7-H7)</f>
        <v>0.234210831928092</v>
      </c>
    </row>
    <row r="8" spans="1:7">
      <c r="A8" s="36"/>
      <c r="B8" s="36"/>
      <c r="C8" s="36"/>
      <c r="D8" s="36"/>
      <c r="E8" s="36"/>
      <c r="F8" s="44"/>
      <c r="G8" s="44"/>
    </row>
    <row r="9" ht="22.5" spans="1:7">
      <c r="A9" s="36"/>
      <c r="B9" s="38" t="s">
        <v>151</v>
      </c>
      <c r="C9" s="38"/>
      <c r="D9" s="38"/>
      <c r="E9" s="38"/>
      <c r="F9" s="38"/>
      <c r="G9" s="38"/>
    </row>
    <row r="10" spans="1:12">
      <c r="A10" s="4" t="s">
        <v>143</v>
      </c>
      <c r="B10" s="4" t="s">
        <v>144</v>
      </c>
      <c r="C10" s="4" t="s">
        <v>9</v>
      </c>
      <c r="D10" s="4" t="s">
        <v>145</v>
      </c>
      <c r="E10" s="4" t="s">
        <v>146</v>
      </c>
      <c r="F10" s="4" t="s">
        <v>147</v>
      </c>
      <c r="G10" s="4" t="s">
        <v>148</v>
      </c>
      <c r="J10" s="4"/>
      <c r="K10" s="4"/>
      <c r="L10" s="4"/>
    </row>
    <row r="11" spans="1:12">
      <c r="A11" s="36">
        <v>1</v>
      </c>
      <c r="B11" s="35">
        <v>0.0275712966918945</v>
      </c>
      <c r="C11" s="35">
        <v>0.0929990291595459</v>
      </c>
      <c r="D11" s="36">
        <f t="shared" si="0"/>
        <v>0.296468650705957</v>
      </c>
      <c r="E11" s="5">
        <v>11</v>
      </c>
      <c r="F11" s="4">
        <f>111-E11</f>
        <v>100</v>
      </c>
      <c r="G11" s="36">
        <f>E11/F11</f>
        <v>0.11</v>
      </c>
      <c r="J11" s="47"/>
      <c r="K11" s="47"/>
      <c r="L11" s="47"/>
    </row>
    <row r="12" spans="1:8">
      <c r="A12" s="36">
        <v>10</v>
      </c>
      <c r="B12" s="35">
        <v>0.0240885734558105</v>
      </c>
      <c r="C12" s="35">
        <v>0.111672115325927</v>
      </c>
      <c r="D12" s="36">
        <f t="shared" si="0"/>
        <v>0.215708043010607</v>
      </c>
      <c r="E12" s="5">
        <v>56</v>
      </c>
      <c r="F12" s="4">
        <f>543-E12</f>
        <v>487</v>
      </c>
      <c r="G12" s="36">
        <f>E12/F12</f>
        <v>0.114989733059548</v>
      </c>
      <c r="H12" s="44"/>
    </row>
    <row r="13" spans="1:7">
      <c r="A13" s="36">
        <v>100</v>
      </c>
      <c r="B13" s="35">
        <v>0.0430426120758056</v>
      </c>
      <c r="C13" s="35">
        <v>0.160237503051757</v>
      </c>
      <c r="D13" s="36">
        <f t="shared" si="0"/>
        <v>0.268617591113503</v>
      </c>
      <c r="E13" s="5">
        <v>506</v>
      </c>
      <c r="F13" s="5">
        <f>4863-E13</f>
        <v>4357</v>
      </c>
      <c r="G13" s="36">
        <f>E13/F13</f>
        <v>0.116134955244434</v>
      </c>
    </row>
    <row r="14" spans="1:7">
      <c r="A14" s="36">
        <v>1000</v>
      </c>
      <c r="B14" s="35">
        <v>0.085810899734497</v>
      </c>
      <c r="C14" s="35">
        <v>0.284899616241455</v>
      </c>
      <c r="D14" s="36">
        <f t="shared" si="0"/>
        <v>0.3011969649751</v>
      </c>
      <c r="E14" s="5">
        <v>5006</v>
      </c>
      <c r="F14" s="5">
        <f>48063-E14</f>
        <v>43057</v>
      </c>
      <c r="G14" s="36">
        <f t="shared" ref="G14:G23" si="1">E14/F14</f>
        <v>0.116264486610772</v>
      </c>
    </row>
    <row r="15" spans="1:7">
      <c r="A15" s="36">
        <v>10000</v>
      </c>
      <c r="B15" s="35">
        <v>0.432697820663452</v>
      </c>
      <c r="C15" s="35">
        <v>1.47240605354309</v>
      </c>
      <c r="D15" s="36">
        <f t="shared" si="0"/>
        <v>0.293871258965718</v>
      </c>
      <c r="E15" s="5">
        <v>50006</v>
      </c>
      <c r="F15" s="5">
        <f>480063-E15</f>
        <v>430057</v>
      </c>
      <c r="G15" s="36">
        <f t="shared" si="1"/>
        <v>0.116277609712201</v>
      </c>
    </row>
    <row r="17" ht="22.5" spans="1:9">
      <c r="A17" s="4"/>
      <c r="B17" s="38" t="s">
        <v>152</v>
      </c>
      <c r="C17" s="38"/>
      <c r="D17" s="38"/>
      <c r="E17" s="38"/>
      <c r="F17" s="38"/>
      <c r="G17" s="38"/>
      <c r="H17" s="38"/>
      <c r="I17" s="38"/>
    </row>
    <row r="18" spans="1:9">
      <c r="A18" s="4" t="s">
        <v>143</v>
      </c>
      <c r="B18" s="4" t="s">
        <v>144</v>
      </c>
      <c r="C18" s="4" t="s">
        <v>9</v>
      </c>
      <c r="D18" s="4" t="s">
        <v>145</v>
      </c>
      <c r="E18" s="4" t="s">
        <v>146</v>
      </c>
      <c r="F18" s="4" t="s">
        <v>147</v>
      </c>
      <c r="G18" s="4" t="s">
        <v>148</v>
      </c>
      <c r="H18" s="4" t="s">
        <v>149</v>
      </c>
      <c r="I18" s="47" t="s">
        <v>150</v>
      </c>
    </row>
    <row r="19" spans="1:8">
      <c r="A19" s="36">
        <v>1</v>
      </c>
      <c r="B19" s="39">
        <v>0.0207996845245361</v>
      </c>
      <c r="C19" s="39">
        <v>0.0383784770965576</v>
      </c>
      <c r="D19" s="36">
        <f t="shared" ref="D19:D23" si="2">B19/C19</f>
        <v>0.541962216796814</v>
      </c>
      <c r="E19" s="5">
        <v>6</v>
      </c>
      <c r="F19" s="35">
        <f>14+79+4+4</f>
        <v>101</v>
      </c>
      <c r="G19" s="35">
        <f t="shared" si="1"/>
        <v>0.0594059405940594</v>
      </c>
      <c r="H19" s="36"/>
    </row>
    <row r="20" spans="1:8">
      <c r="A20" s="36">
        <v>10</v>
      </c>
      <c r="B20" s="39">
        <v>0.0298709392547607</v>
      </c>
      <c r="C20" s="39">
        <v>0.0656455516815185</v>
      </c>
      <c r="D20" s="36">
        <f t="shared" si="2"/>
        <v>0.455033714998398</v>
      </c>
      <c r="E20" s="5">
        <v>24</v>
      </c>
      <c r="F20" s="41">
        <f>68+466+4+4</f>
        <v>542</v>
      </c>
      <c r="G20" s="35">
        <f t="shared" si="1"/>
        <v>0.044280442804428</v>
      </c>
      <c r="H20" s="36"/>
    </row>
    <row r="21" spans="1:8">
      <c r="A21" s="36">
        <v>100</v>
      </c>
      <c r="B21" s="39">
        <v>0.0336797714233398</v>
      </c>
      <c r="C21" s="39">
        <v>0.101678419113159</v>
      </c>
      <c r="D21" s="36">
        <f t="shared" si="2"/>
        <v>0.331238149816799</v>
      </c>
      <c r="E21" s="5">
        <v>204</v>
      </c>
      <c r="F21" s="41">
        <f>608+4336+4+4</f>
        <v>4952</v>
      </c>
      <c r="G21" s="35">
        <f t="shared" si="1"/>
        <v>0.0411954765751212</v>
      </c>
      <c r="H21" s="36"/>
    </row>
    <row r="22" spans="1:9">
      <c r="A22" s="36">
        <v>1000</v>
      </c>
      <c r="B22" s="39">
        <v>0.054520034790039</v>
      </c>
      <c r="C22" s="39">
        <v>0.371586036682128</v>
      </c>
      <c r="D22" s="36">
        <f t="shared" si="2"/>
        <v>0.146722506789667</v>
      </c>
      <c r="E22" s="5">
        <v>2004</v>
      </c>
      <c r="F22" s="5">
        <f>43036+6008+4+4</f>
        <v>49052</v>
      </c>
      <c r="G22" s="35">
        <f t="shared" si="1"/>
        <v>0.0408546032781538</v>
      </c>
      <c r="H22" s="42">
        <f>0.06122+0.054416</f>
        <v>0.115636</v>
      </c>
      <c r="I22" s="33">
        <f>B22/(C22-H22)</f>
        <v>0.213010458981684</v>
      </c>
    </row>
    <row r="23" spans="1:9">
      <c r="A23" s="36">
        <v>10000</v>
      </c>
      <c r="B23" s="39">
        <v>0.477054357528686</v>
      </c>
      <c r="C23" s="39">
        <v>17.5917851924896</v>
      </c>
      <c r="D23" s="36">
        <f t="shared" si="2"/>
        <v>0.0271180185699603</v>
      </c>
      <c r="E23" s="5">
        <v>20004</v>
      </c>
      <c r="F23" s="35">
        <f>430036+60008+4+4</f>
        <v>490052</v>
      </c>
      <c r="G23" s="35">
        <f t="shared" si="1"/>
        <v>0.0408201578607984</v>
      </c>
      <c r="H23" s="43">
        <f>7.212567+8.11456</f>
        <v>15.327127</v>
      </c>
      <c r="I23" s="33">
        <f>B23/(C23-H23)</f>
        <v>0.210651814525815</v>
      </c>
    </row>
    <row r="24" spans="2:8">
      <c r="B24" s="40"/>
      <c r="C24" s="40"/>
      <c r="H24" s="45"/>
    </row>
    <row r="25" ht="22.5" spans="1:7">
      <c r="A25" s="36"/>
      <c r="B25" s="38" t="s">
        <v>153</v>
      </c>
      <c r="C25" s="38"/>
      <c r="D25" s="38"/>
      <c r="E25" s="38"/>
      <c r="F25" s="38"/>
      <c r="G25" s="38"/>
    </row>
    <row r="26" spans="1:7">
      <c r="A26" s="4" t="s">
        <v>143</v>
      </c>
      <c r="B26" s="4" t="s">
        <v>144</v>
      </c>
      <c r="C26" s="4" t="s">
        <v>9</v>
      </c>
      <c r="D26" s="4" t="s">
        <v>145</v>
      </c>
      <c r="E26" s="4" t="s">
        <v>146</v>
      </c>
      <c r="F26" s="4" t="s">
        <v>147</v>
      </c>
      <c r="G26" s="4" t="s">
        <v>148</v>
      </c>
    </row>
    <row r="27" spans="1:7">
      <c r="A27" s="36">
        <v>1</v>
      </c>
      <c r="B27" s="35">
        <v>0.0245368003845214</v>
      </c>
      <c r="C27" s="35">
        <v>0.100968551635742</v>
      </c>
      <c r="D27" s="36">
        <f t="shared" ref="D27:D31" si="3">B27/C27</f>
        <v>0.243014285012637</v>
      </c>
      <c r="E27" s="5">
        <v>11</v>
      </c>
      <c r="F27" s="5">
        <f>111-E27</f>
        <v>100</v>
      </c>
      <c r="G27" s="36">
        <f t="shared" ref="G27:G31" si="4">E27/F27</f>
        <v>0.11</v>
      </c>
    </row>
    <row r="28" spans="1:7">
      <c r="A28" s="36">
        <v>10</v>
      </c>
      <c r="B28" s="35">
        <v>0.0220088958740234</v>
      </c>
      <c r="C28" s="35">
        <v>0.0803800106048584</v>
      </c>
      <c r="D28" s="36">
        <f t="shared" si="3"/>
        <v>0.273810561959457</v>
      </c>
      <c r="E28" s="5">
        <v>56</v>
      </c>
      <c r="F28" s="4">
        <f>570-E28</f>
        <v>514</v>
      </c>
      <c r="G28" s="36">
        <f t="shared" si="4"/>
        <v>0.108949416342412</v>
      </c>
    </row>
    <row r="29" spans="1:7">
      <c r="A29" s="36">
        <v>100</v>
      </c>
      <c r="B29" s="35">
        <v>0.0438506126403808</v>
      </c>
      <c r="C29" s="35">
        <v>0.189866638183593</v>
      </c>
      <c r="D29" s="36">
        <f t="shared" si="3"/>
        <v>0.230954806278179</v>
      </c>
      <c r="E29" s="5">
        <v>506</v>
      </c>
      <c r="F29" s="5">
        <f>4864-E29</f>
        <v>4358</v>
      </c>
      <c r="G29" s="36">
        <f t="shared" si="4"/>
        <v>0.116108306562643</v>
      </c>
    </row>
    <row r="30" spans="1:7">
      <c r="A30" s="36">
        <v>1000</v>
      </c>
      <c r="B30" s="35">
        <v>0.0698323249816894</v>
      </c>
      <c r="C30" s="35">
        <v>0.24731798171997</v>
      </c>
      <c r="D30" s="36">
        <f t="shared" si="3"/>
        <v>0.282358462154839</v>
      </c>
      <c r="E30" s="5">
        <v>5006</v>
      </c>
      <c r="F30" s="5">
        <f>48064-E30</f>
        <v>43058</v>
      </c>
      <c r="G30" s="36">
        <f t="shared" si="4"/>
        <v>0.116261786427609</v>
      </c>
    </row>
    <row r="31" spans="1:7">
      <c r="A31" s="36">
        <v>10000</v>
      </c>
      <c r="B31" s="35">
        <v>0.403282403945922</v>
      </c>
      <c r="C31" s="35">
        <v>1.48104510307312</v>
      </c>
      <c r="D31" s="36">
        <f t="shared" si="3"/>
        <v>0.272295828877273</v>
      </c>
      <c r="E31" s="5">
        <v>50006</v>
      </c>
      <c r="F31" s="5">
        <f>480064-E31</f>
        <v>430058</v>
      </c>
      <c r="G31" s="36">
        <f t="shared" si="4"/>
        <v>0.116277339335624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B1:I1"/>
    <mergeCell ref="J1:L1"/>
    <mergeCell ref="N1:P1"/>
    <mergeCell ref="B9:G9"/>
    <mergeCell ref="J10:L10"/>
    <mergeCell ref="B17:I17"/>
    <mergeCell ref="B25:G2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zoomScale="200" zoomScaleNormal="200" topLeftCell="C2" workbookViewId="0">
      <selection activeCell="A1" sqref="A1:F1"/>
    </sheetView>
  </sheetViews>
  <sheetFormatPr defaultColWidth="9" defaultRowHeight="13.5"/>
  <cols>
    <col min="1" max="1" width="13.375" customWidth="1"/>
    <col min="2" max="2" width="14.125" customWidth="1"/>
    <col min="3" max="3" width="14.0416666666667" customWidth="1"/>
    <col min="4" max="4" width="14.9166666666667" customWidth="1"/>
    <col min="5" max="5" width="14.125"/>
    <col min="9" max="10" width="12.625"/>
  </cols>
  <sheetData>
    <row r="1" ht="31.5" spans="1:6">
      <c r="A1" s="34" t="s">
        <v>154</v>
      </c>
      <c r="B1" s="34"/>
      <c r="C1" s="34"/>
      <c r="D1" s="34"/>
      <c r="E1" s="34"/>
      <c r="F1" s="34"/>
    </row>
    <row r="2" spans="1:6">
      <c r="A2" s="4" t="s">
        <v>155</v>
      </c>
      <c r="B2" s="4" t="s">
        <v>156</v>
      </c>
      <c r="C2" s="4" t="s">
        <v>157</v>
      </c>
      <c r="D2" s="4" t="s">
        <v>158</v>
      </c>
      <c r="E2" s="4" t="s">
        <v>159</v>
      </c>
      <c r="F2" s="4" t="s">
        <v>160</v>
      </c>
    </row>
    <row r="3" spans="1:5">
      <c r="A3" s="4" t="s">
        <v>161</v>
      </c>
      <c r="B3" s="4" t="s">
        <v>162</v>
      </c>
      <c r="C3" s="36">
        <v>10.342</v>
      </c>
      <c r="D3" s="36">
        <v>20.804</v>
      </c>
      <c r="E3" s="4">
        <f>C3/D3</f>
        <v>0.497115939242453</v>
      </c>
    </row>
    <row r="4" spans="1:5">
      <c r="A4" s="4" t="s">
        <v>163</v>
      </c>
      <c r="B4" s="4" t="s">
        <v>162</v>
      </c>
      <c r="C4" s="36">
        <v>3.06</v>
      </c>
      <c r="D4" s="36">
        <v>5.384</v>
      </c>
      <c r="E4" s="4">
        <f>C4/D4</f>
        <v>0.568350668647845</v>
      </c>
    </row>
    <row r="5" spans="1:5">
      <c r="A5" s="4" t="s">
        <v>15</v>
      </c>
      <c r="B5" s="4" t="s">
        <v>164</v>
      </c>
      <c r="C5" s="36">
        <v>1.8864</v>
      </c>
      <c r="D5" s="36">
        <v>0.368417978</v>
      </c>
      <c r="E5" s="4">
        <f>C5/D5</f>
        <v>5.12027130228699</v>
      </c>
    </row>
    <row r="6" spans="1:5">
      <c r="A6" s="4" t="s">
        <v>19</v>
      </c>
      <c r="B6" s="4" t="s">
        <v>164</v>
      </c>
      <c r="C6" s="5">
        <v>49.4482</v>
      </c>
      <c r="D6" s="35">
        <v>25.1768056869506</v>
      </c>
      <c r="E6" s="4">
        <f>C6/D6</f>
        <v>1.96403787735588</v>
      </c>
    </row>
    <row r="7" spans="1:10">
      <c r="A7" s="4" t="s">
        <v>39</v>
      </c>
      <c r="B7" s="4" t="s">
        <v>164</v>
      </c>
      <c r="C7" s="36">
        <v>8.8874</v>
      </c>
      <c r="D7" s="35">
        <v>1.76502656936645</v>
      </c>
      <c r="E7" s="4">
        <f>C7/D7</f>
        <v>5.03527830926086</v>
      </c>
      <c r="F7" s="4"/>
      <c r="G7" s="4"/>
      <c r="H7" s="36"/>
      <c r="I7" s="35"/>
      <c r="J7" s="4"/>
    </row>
    <row r="8" spans="3:5">
      <c r="C8" s="4" t="s">
        <v>165</v>
      </c>
      <c r="D8" s="3">
        <f>SUM(C5:C7)/SUM(D5:D7)</f>
        <v>2.20510612254762</v>
      </c>
      <c r="E8" s="37">
        <f>SUM(C3:C7)/SUM(D3:D7)</f>
        <v>1.37619454239221</v>
      </c>
    </row>
    <row r="9" ht="31.5" spans="1:5">
      <c r="A9" s="34" t="s">
        <v>166</v>
      </c>
      <c r="B9" s="36"/>
      <c r="C9" s="36"/>
      <c r="D9" s="36"/>
      <c r="E9" s="36"/>
    </row>
    <row r="10" spans="1:11">
      <c r="A10" s="4" t="s">
        <v>155</v>
      </c>
      <c r="B10" s="4" t="s">
        <v>156</v>
      </c>
      <c r="C10" s="4" t="s">
        <v>157</v>
      </c>
      <c r="D10" s="4" t="s">
        <v>158</v>
      </c>
      <c r="E10" s="4" t="s">
        <v>159</v>
      </c>
      <c r="G10" s="4" t="s">
        <v>35</v>
      </c>
      <c r="H10" s="4" t="s">
        <v>164</v>
      </c>
      <c r="I10" s="36">
        <v>39.805</v>
      </c>
      <c r="J10" s="35">
        <v>12.9667850494384</v>
      </c>
      <c r="K10" s="4">
        <f>I10/J10</f>
        <v>3.06976631819188</v>
      </c>
    </row>
    <row r="11" spans="1:5">
      <c r="A11" s="4" t="s">
        <v>161</v>
      </c>
      <c r="B11" s="4" t="s">
        <v>162</v>
      </c>
      <c r="C11" s="36">
        <v>96.8646</v>
      </c>
      <c r="D11" s="36">
        <v>302.841</v>
      </c>
      <c r="E11" s="4">
        <f>C11/D11</f>
        <v>0.319852992164205</v>
      </c>
    </row>
    <row r="12" spans="1:5">
      <c r="A12" s="4" t="s">
        <v>163</v>
      </c>
      <c r="B12" s="4" t="s">
        <v>162</v>
      </c>
      <c r="C12" s="36">
        <v>20.9744</v>
      </c>
      <c r="D12" s="36">
        <v>42.806</v>
      </c>
      <c r="E12" s="4">
        <f>C12/D12</f>
        <v>0.489987384946036</v>
      </c>
    </row>
    <row r="13" spans="1:5">
      <c r="A13" s="4" t="s">
        <v>167</v>
      </c>
      <c r="B13" s="4" t="s">
        <v>162</v>
      </c>
      <c r="C13" s="36"/>
      <c r="D13" s="36">
        <v>0.401</v>
      </c>
      <c r="E13" s="4"/>
    </row>
    <row r="14" spans="1:5">
      <c r="A14" s="4" t="s">
        <v>15</v>
      </c>
      <c r="B14" s="4" t="s">
        <v>164</v>
      </c>
      <c r="C14" s="36">
        <v>16.5158</v>
      </c>
      <c r="D14" s="35">
        <v>3.83629150390625</v>
      </c>
      <c r="E14" s="4">
        <f>C14/D14</f>
        <v>4.305147297379</v>
      </c>
    </row>
    <row r="15" spans="1:5">
      <c r="A15" s="4" t="s">
        <v>35</v>
      </c>
      <c r="B15" s="4" t="s">
        <v>164</v>
      </c>
      <c r="C15" s="36">
        <v>9321.2042</v>
      </c>
      <c r="D15" s="35">
        <v>4442.95589313507</v>
      </c>
      <c r="E15" s="4">
        <f>C15/D15</f>
        <v>2.09797360680587</v>
      </c>
    </row>
    <row r="16" spans="1:5">
      <c r="A16" s="4" t="s">
        <v>39</v>
      </c>
      <c r="B16" s="4" t="s">
        <v>164</v>
      </c>
      <c r="C16" s="36">
        <v>80.4816</v>
      </c>
      <c r="D16" s="35">
        <v>17.7899767875671</v>
      </c>
      <c r="E16" s="4">
        <f>C16/D16</f>
        <v>4.52398566681921</v>
      </c>
    </row>
    <row r="17" spans="4:5">
      <c r="D17" s="3" t="s">
        <v>165</v>
      </c>
      <c r="E17" s="37">
        <f>SUM(C11:C16)/SUM(D11:D16)</f>
        <v>1.98228512273997</v>
      </c>
    </row>
    <row r="18" spans="4:4">
      <c r="D18" s="35"/>
    </row>
    <row r="19" spans="4:4">
      <c r="D19" s="35"/>
    </row>
  </sheetData>
  <sheetProtection formatCells="0" formatColumns="0" formatRows="0" insertRows="0" insertColumns="0" insertHyperlinks="0" deleteColumns="0" deleteRows="0" sort="0" autoFilter="0" pivotTables="0"/>
  <mergeCells count="2">
    <mergeCell ref="A1:F1"/>
    <mergeCell ref="A9:E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zoomScale="200" zoomScaleNormal="200" topLeftCell="F2" workbookViewId="0">
      <selection activeCell="A1" sqref="A1:F1"/>
    </sheetView>
  </sheetViews>
  <sheetFormatPr defaultColWidth="9" defaultRowHeight="13.5" outlineLevelCol="5"/>
  <cols>
    <col min="1" max="1" width="18.875" customWidth="1"/>
    <col min="2" max="2" width="20.125" customWidth="1"/>
    <col min="3" max="3" width="19.25" customWidth="1"/>
    <col min="4" max="4" width="23.25" customWidth="1"/>
    <col min="5" max="5" width="33" customWidth="1"/>
    <col min="6" max="6" width="9.375"/>
  </cols>
  <sheetData>
    <row r="1" ht="31.5" spans="1:6">
      <c r="A1" s="34" t="s">
        <v>154</v>
      </c>
      <c r="B1" s="34"/>
      <c r="C1" s="34"/>
      <c r="D1" s="34"/>
      <c r="E1" s="34"/>
      <c r="F1" s="34"/>
    </row>
    <row r="2" spans="1:6">
      <c r="A2" s="4" t="s">
        <v>155</v>
      </c>
      <c r="B2" s="4" t="s">
        <v>156</v>
      </c>
      <c r="C2" s="4" t="s">
        <v>157</v>
      </c>
      <c r="D2" s="4" t="s">
        <v>158</v>
      </c>
      <c r="E2" s="4" t="s">
        <v>159</v>
      </c>
      <c r="F2" s="4" t="s">
        <v>160</v>
      </c>
    </row>
    <row r="3" spans="1:5">
      <c r="A3" s="4" t="s">
        <v>161</v>
      </c>
      <c r="B3" s="4" t="s">
        <v>162</v>
      </c>
      <c r="C3" s="35">
        <v>6.39556169509887</v>
      </c>
      <c r="D3" s="36">
        <v>392.612289</v>
      </c>
      <c r="E3" s="4">
        <f>C3/D3</f>
        <v>0.0162897644171777</v>
      </c>
    </row>
    <row r="4" spans="1:5">
      <c r="A4" s="4" t="s">
        <v>163</v>
      </c>
      <c r="B4" s="4" t="s">
        <v>162</v>
      </c>
      <c r="C4" s="35">
        <v>1.66266735643148</v>
      </c>
      <c r="D4" s="36">
        <v>187.734856</v>
      </c>
      <c r="E4" s="4">
        <f>C4/D4</f>
        <v>0.00885646593209883</v>
      </c>
    </row>
    <row r="5" spans="1:6">
      <c r="A5" s="4" t="s">
        <v>15</v>
      </c>
      <c r="B5" s="4" t="s">
        <v>164</v>
      </c>
      <c r="C5" s="36">
        <v>467.524321</v>
      </c>
      <c r="D5" s="36">
        <v>0.277163</v>
      </c>
      <c r="E5" s="4">
        <f>C5/D5</f>
        <v>1686.82082745532</v>
      </c>
      <c r="F5">
        <v>713258</v>
      </c>
    </row>
    <row r="6" spans="1:6">
      <c r="A6" s="4" t="s">
        <v>19</v>
      </c>
      <c r="B6" s="4" t="s">
        <v>164</v>
      </c>
      <c r="C6" s="36">
        <v>494.278881</v>
      </c>
      <c r="D6" s="35">
        <v>1.58704461306</v>
      </c>
      <c r="E6" s="4">
        <f>C6/D6</f>
        <v>311.446116216591</v>
      </c>
      <c r="F6">
        <v>31125134</v>
      </c>
    </row>
    <row r="7" spans="1:6">
      <c r="A7" s="4" t="s">
        <v>39</v>
      </c>
      <c r="B7" s="4" t="s">
        <v>164</v>
      </c>
      <c r="C7" s="36">
        <v>2272.343865</v>
      </c>
      <c r="D7" s="35">
        <v>5.459024</v>
      </c>
      <c r="E7" s="4">
        <f>C7/D7</f>
        <v>416.254602471064</v>
      </c>
      <c r="F7">
        <v>3488413</v>
      </c>
    </row>
    <row r="8" spans="3:5">
      <c r="C8" s="4" t="s">
        <v>165</v>
      </c>
      <c r="D8" s="3">
        <f>SUM(C5:C7)/SUM(D5:D7)</f>
        <v>441.62840094151</v>
      </c>
      <c r="E8" s="37">
        <f>SUM(C3:C7)/SUM(D3:D7)</f>
        <v>5.51704735354781</v>
      </c>
    </row>
    <row r="9" ht="31.5" spans="1:5">
      <c r="A9" s="34"/>
      <c r="B9" s="36"/>
      <c r="C9" s="36"/>
      <c r="D9" s="36"/>
      <c r="E9" s="36"/>
    </row>
    <row r="10" spans="1:5">
      <c r="A10" s="4"/>
      <c r="B10" s="4"/>
      <c r="C10" s="4"/>
      <c r="D10" s="4"/>
      <c r="E10" s="4"/>
    </row>
    <row r="11" spans="1:5">
      <c r="A11" s="4"/>
      <c r="B11" s="4"/>
      <c r="C11" s="36"/>
      <c r="D11" s="36"/>
      <c r="E11" s="4"/>
    </row>
    <row r="12" spans="1:5">
      <c r="A12" s="4"/>
      <c r="B12" s="4"/>
      <c r="C12" s="36"/>
      <c r="D12" s="36"/>
      <c r="E12" s="4"/>
    </row>
    <row r="13" spans="1:5">
      <c r="A13" s="4"/>
      <c r="B13" s="4"/>
      <c r="C13" s="36"/>
      <c r="D13" s="36"/>
      <c r="E13" s="4"/>
    </row>
    <row r="14" spans="1:5">
      <c r="A14" s="4"/>
      <c r="B14" s="4"/>
      <c r="C14" s="36"/>
      <c r="D14" s="35"/>
      <c r="E14" s="4"/>
    </row>
    <row r="15" spans="1:5">
      <c r="A15" s="4"/>
      <c r="B15" s="4"/>
      <c r="C15" s="36"/>
      <c r="D15" s="35"/>
      <c r="E15" s="4"/>
    </row>
    <row r="16" spans="1:5">
      <c r="A16" s="4"/>
      <c r="B16" s="4"/>
      <c r="C16" s="36"/>
      <c r="D16" s="35"/>
      <c r="E16" s="4"/>
    </row>
    <row r="17" spans="4:5">
      <c r="D17" s="3"/>
      <c r="E17" s="37"/>
    </row>
  </sheetData>
  <sheetProtection formatCells="0" formatColumns="0" formatRows="0" insertRows="0" insertColumns="0" insertHyperlinks="0" deleteColumns="0" deleteRows="0" sort="0" autoFilter="0" pivotTables="0"/>
  <mergeCells count="2">
    <mergeCell ref="A1:F1"/>
    <mergeCell ref="A9:E9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1" sqref="A1"/>
    </sheetView>
  </sheetViews>
  <sheetFormatPr defaultColWidth="9" defaultRowHeight="13.5"/>
  <cols>
    <col min="2" max="2" width="35.8916666666667" customWidth="1"/>
    <col min="3" max="3" width="34.4083333333333" customWidth="1"/>
    <col min="4" max="4" width="44.0833333333333" customWidth="1"/>
    <col min="5" max="5" width="25.475" customWidth="1"/>
    <col min="6" max="6" width="38.5" customWidth="1"/>
    <col min="7" max="7" width="26.1916666666667" customWidth="1"/>
    <col min="8" max="8" width="63.8083333333333" customWidth="1"/>
    <col min="9" max="9" width="79.25" customWidth="1"/>
    <col min="10" max="10" width="53" customWidth="1"/>
  </cols>
  <sheetData>
    <row r="1" ht="147.75" customHeight="1" spans="2:7">
      <c r="B1" s="8" t="s">
        <v>0</v>
      </c>
      <c r="C1" s="9"/>
      <c r="D1" s="9"/>
      <c r="E1" s="9"/>
      <c r="F1" s="9"/>
      <c r="G1" s="9"/>
    </row>
    <row r="2" ht="212.15" customHeight="1" spans="1:8">
      <c r="A2" s="10" t="s">
        <v>76</v>
      </c>
      <c r="B2" s="8" t="s">
        <v>168</v>
      </c>
      <c r="C2" s="28">
        <v>406.146392583847</v>
      </c>
      <c r="D2" s="8" t="s">
        <v>169</v>
      </c>
      <c r="E2" s="28">
        <v>46.8453621864318</v>
      </c>
      <c r="F2" s="8" t="s">
        <v>170</v>
      </c>
      <c r="G2" s="28">
        <v>25.5098857879638</v>
      </c>
      <c r="H2" s="8"/>
    </row>
    <row r="3" ht="16.5" spans="1:9">
      <c r="A3" s="11"/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4" t="s">
        <v>12</v>
      </c>
      <c r="I3" s="4" t="s">
        <v>13</v>
      </c>
    </row>
    <row r="4" ht="167" customHeight="1" spans="1:10">
      <c r="A4" s="13" t="s">
        <v>171</v>
      </c>
      <c r="B4" s="14" t="s">
        <v>172</v>
      </c>
      <c r="C4" s="20">
        <v>88.7639373779297</v>
      </c>
      <c r="D4" s="21">
        <v>0.00012689</v>
      </c>
      <c r="E4" s="20">
        <v>45.72585439682</v>
      </c>
      <c r="F4" s="16">
        <f t="shared" ref="F4:F13" si="0">C4/E4</f>
        <v>1.94121987546946</v>
      </c>
      <c r="G4" s="21">
        <v>36765446</v>
      </c>
      <c r="H4" s="25" t="s">
        <v>173</v>
      </c>
      <c r="I4" s="25" t="s">
        <v>174</v>
      </c>
      <c r="J4" s="25"/>
    </row>
    <row r="5" ht="114" customHeight="1" spans="1:9">
      <c r="A5" s="13" t="s">
        <v>175</v>
      </c>
      <c r="B5" s="17" t="s">
        <v>176</v>
      </c>
      <c r="C5" s="20">
        <v>15.5661280632019</v>
      </c>
      <c r="D5" s="29">
        <v>9.6531e-5</v>
      </c>
      <c r="E5" s="20">
        <v>7.23405590057373</v>
      </c>
      <c r="F5" s="16">
        <f t="shared" si="0"/>
        <v>2.15178432087694</v>
      </c>
      <c r="G5" s="21">
        <v>3614007</v>
      </c>
      <c r="H5" s="25" t="s">
        <v>177</v>
      </c>
      <c r="I5" s="25" t="s">
        <v>178</v>
      </c>
    </row>
    <row r="6" ht="121.5" customHeight="1" spans="1:10">
      <c r="A6" s="13" t="s">
        <v>179</v>
      </c>
      <c r="B6" s="17" t="s">
        <v>180</v>
      </c>
      <c r="C6" s="20">
        <v>32.577439212799</v>
      </c>
      <c r="D6" s="29">
        <v>5.8279e-5</v>
      </c>
      <c r="E6" s="20">
        <v>7.54384117126464</v>
      </c>
      <c r="F6" s="16">
        <f t="shared" si="0"/>
        <v>4.31841531034484</v>
      </c>
      <c r="G6" s="21">
        <v>5151969</v>
      </c>
      <c r="H6" s="25" t="s">
        <v>181</v>
      </c>
      <c r="I6" s="25" t="s">
        <v>182</v>
      </c>
      <c r="J6" s="25"/>
    </row>
    <row r="7" ht="216" spans="1:9">
      <c r="A7" s="13" t="s">
        <v>183</v>
      </c>
      <c r="B7" s="18" t="s">
        <v>184</v>
      </c>
      <c r="C7" s="20">
        <v>316.619230222702</v>
      </c>
      <c r="D7" s="29">
        <v>5.6277e-5</v>
      </c>
      <c r="E7" s="20">
        <v>61.1479402065277</v>
      </c>
      <c r="F7" s="16">
        <f t="shared" si="0"/>
        <v>5.17792143371171</v>
      </c>
      <c r="G7" s="15">
        <v>76828189</v>
      </c>
      <c r="H7" s="25" t="s">
        <v>185</v>
      </c>
      <c r="I7" s="25" t="s">
        <v>186</v>
      </c>
    </row>
    <row r="8" ht="156.5" customHeight="1" spans="1:9">
      <c r="A8" s="13" t="s">
        <v>187</v>
      </c>
      <c r="B8" s="17" t="s">
        <v>188</v>
      </c>
      <c r="C8" s="30">
        <v>62.9272664070129</v>
      </c>
      <c r="D8" s="15">
        <v>0.000123636</v>
      </c>
      <c r="E8" s="30">
        <v>17.7896490573883</v>
      </c>
      <c r="F8" s="16">
        <f t="shared" si="0"/>
        <v>3.53729667201491</v>
      </c>
      <c r="G8" s="22">
        <v>14601110</v>
      </c>
      <c r="H8" s="25" t="s">
        <v>189</v>
      </c>
      <c r="I8" s="25" t="s">
        <v>190</v>
      </c>
    </row>
    <row r="9" ht="129.5" customHeight="1" spans="1:10">
      <c r="A9" s="13" t="s">
        <v>191</v>
      </c>
      <c r="B9" s="17" t="s">
        <v>192</v>
      </c>
      <c r="C9" s="30">
        <v>31.5798277378082</v>
      </c>
      <c r="D9" s="29">
        <v>7.884e-5</v>
      </c>
      <c r="E9" s="30">
        <v>9.05927205085754</v>
      </c>
      <c r="F9" s="16">
        <f t="shared" si="0"/>
        <v>3.48591228528333</v>
      </c>
      <c r="G9" s="22">
        <v>2724147</v>
      </c>
      <c r="H9" s="25" t="s">
        <v>193</v>
      </c>
      <c r="I9" s="25" t="s">
        <v>194</v>
      </c>
      <c r="J9" s="25"/>
    </row>
    <row r="10" ht="172.5" customHeight="1" spans="1:9">
      <c r="A10" s="13" t="s">
        <v>195</v>
      </c>
      <c r="B10" s="17" t="s">
        <v>196</v>
      </c>
      <c r="C10" s="30">
        <v>3432.13314504623</v>
      </c>
      <c r="D10" s="21">
        <v>0.000122178</v>
      </c>
      <c r="E10" s="30">
        <v>270.695724153518</v>
      </c>
      <c r="F10" s="16">
        <f t="shared" si="0"/>
        <v>12.6789337207993</v>
      </c>
      <c r="G10" s="22">
        <v>39595119</v>
      </c>
      <c r="H10" s="25" t="s">
        <v>197</v>
      </c>
      <c r="I10" s="25" t="s">
        <v>198</v>
      </c>
    </row>
    <row r="11" ht="141" customHeight="1" spans="1:9">
      <c r="A11" s="13" t="s">
        <v>199</v>
      </c>
      <c r="B11" s="19" t="s">
        <v>200</v>
      </c>
      <c r="C11" s="30">
        <v>0.0612865447998046</v>
      </c>
      <c r="D11" s="21">
        <v>0</v>
      </c>
      <c r="E11" s="30">
        <v>0.0671858787536621</v>
      </c>
      <c r="F11" s="16">
        <f t="shared" si="0"/>
        <v>0.912193840978288</v>
      </c>
      <c r="G11" s="22"/>
      <c r="H11" s="32" t="s">
        <v>201</v>
      </c>
      <c r="I11" s="25"/>
    </row>
    <row r="12" ht="137.5" customHeight="1" spans="1:10">
      <c r="A12" s="13" t="s">
        <v>202</v>
      </c>
      <c r="B12" s="14" t="s">
        <v>203</v>
      </c>
      <c r="C12" s="31">
        <v>0.0565016269683837</v>
      </c>
      <c r="D12" s="21">
        <v>0</v>
      </c>
      <c r="E12" s="31">
        <v>0.0947381496429443</v>
      </c>
      <c r="F12" s="16">
        <f t="shared" si="0"/>
        <v>0.596397831088436</v>
      </c>
      <c r="G12" s="26"/>
      <c r="H12" s="32" t="s">
        <v>204</v>
      </c>
      <c r="I12" s="25"/>
      <c r="J12" s="33"/>
    </row>
    <row r="13" ht="104.5" customHeight="1" spans="1:9">
      <c r="A13" s="13" t="s">
        <v>205</v>
      </c>
      <c r="B13" s="17" t="s">
        <v>206</v>
      </c>
      <c r="C13" s="30">
        <v>0.0666111469268798</v>
      </c>
      <c r="D13" s="21">
        <v>0</v>
      </c>
      <c r="E13" s="30">
        <v>0.0982372760772705</v>
      </c>
      <c r="F13" s="16">
        <f t="shared" si="0"/>
        <v>0.678063863196751</v>
      </c>
      <c r="G13" s="22"/>
      <c r="H13" s="32" t="s">
        <v>207</v>
      </c>
      <c r="I13" s="25"/>
    </row>
    <row r="14" ht="21" spans="1:9">
      <c r="A14" s="13"/>
      <c r="B14" s="14"/>
      <c r="C14" s="23">
        <f>SUM(C4:C13)</f>
        <v>3980.35137338638</v>
      </c>
      <c r="D14" s="23">
        <f>E14+C2+E2+G2</f>
        <v>897.958138799666</v>
      </c>
      <c r="E14" s="23">
        <f>SUM(E4:E13)</f>
        <v>419.456498241424</v>
      </c>
      <c r="F14" s="20">
        <f>GEOMEAN(F4:F13)</f>
        <v>2.36119458950278</v>
      </c>
      <c r="G14" s="27">
        <f>C14/D14</f>
        <v>4.43266918734882</v>
      </c>
      <c r="H14" s="23">
        <f>C14/E14</f>
        <v>9.48930673400948</v>
      </c>
      <c r="I14" s="27"/>
    </row>
    <row r="15" ht="18.75" spans="3:9">
      <c r="C15" s="24" t="s">
        <v>52</v>
      </c>
      <c r="D15" s="24" t="s">
        <v>53</v>
      </c>
      <c r="E15" s="24" t="s">
        <v>54</v>
      </c>
      <c r="F15" s="24" t="s">
        <v>55</v>
      </c>
      <c r="G15" s="24" t="s">
        <v>56</v>
      </c>
      <c r="H15" s="24" t="s">
        <v>57</v>
      </c>
      <c r="I15" s="24"/>
    </row>
  </sheetData>
  <sheetProtection formatCells="0" formatColumns="0" formatRows="0" insertRows="0" insertColumns="0" insertHyperlinks="0" deleteColumns="0" deleteRows="0" sort="0" autoFilter="0" pivotTables="0"/>
  <mergeCells count="1">
    <mergeCell ref="B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zoomScale="140" zoomScaleNormal="140" topLeftCell="E4" workbookViewId="0">
      <selection activeCell="E2" sqref="E2"/>
    </sheetView>
  </sheetViews>
  <sheetFormatPr defaultColWidth="9" defaultRowHeight="13.5"/>
  <cols>
    <col min="2" max="2" width="35.8916666666667" customWidth="1"/>
    <col min="3" max="3" width="34.4083333333333" customWidth="1"/>
    <col min="4" max="4" width="44.0833333333333" customWidth="1"/>
    <col min="5" max="5" width="25.475" customWidth="1"/>
    <col min="6" max="6" width="38.5" customWidth="1"/>
    <col min="7" max="7" width="26.1916666666667" customWidth="1"/>
    <col min="8" max="8" width="63.8083333333333" customWidth="1"/>
    <col min="9" max="9" width="65" customWidth="1"/>
    <col min="10" max="10" width="53" customWidth="1"/>
  </cols>
  <sheetData>
    <row r="1" customFormat="1" ht="147.75" customHeight="1" spans="2:7">
      <c r="B1" s="8" t="s">
        <v>75</v>
      </c>
      <c r="C1" s="9"/>
      <c r="D1" s="9"/>
      <c r="E1" s="9"/>
      <c r="F1" s="9"/>
      <c r="G1" s="9"/>
    </row>
    <row r="2" customFormat="1" ht="212.15" customHeight="1" spans="1:8">
      <c r="A2" s="10" t="s">
        <v>76</v>
      </c>
      <c r="B2" s="8" t="s">
        <v>208</v>
      </c>
      <c r="C2" s="8">
        <v>185.713</v>
      </c>
      <c r="D2" s="8" t="s">
        <v>209</v>
      </c>
      <c r="E2" s="8">
        <v>16.45</v>
      </c>
      <c r="F2" s="8" t="s">
        <v>210</v>
      </c>
      <c r="G2" s="8">
        <v>25.705</v>
      </c>
      <c r="H2" s="16"/>
    </row>
    <row r="3" customFormat="1" ht="16.5" spans="1:9">
      <c r="A3" s="11"/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4" t="s">
        <v>12</v>
      </c>
      <c r="I3" s="4" t="s">
        <v>13</v>
      </c>
    </row>
    <row r="4" ht="167" customHeight="1" spans="1:10">
      <c r="A4" s="13" t="s">
        <v>171</v>
      </c>
      <c r="B4" s="14" t="s">
        <v>172</v>
      </c>
      <c r="C4" s="15">
        <v>47.3038</v>
      </c>
      <c r="D4" s="16">
        <v>0.00906801223754882</v>
      </c>
      <c r="E4" s="16">
        <v>27.6256</v>
      </c>
      <c r="F4" s="16">
        <f t="shared" ref="F4:F13" si="0">C4/E4</f>
        <v>1.71231756052357</v>
      </c>
      <c r="G4" s="16">
        <v>36765446</v>
      </c>
      <c r="H4" s="25" t="s">
        <v>211</v>
      </c>
      <c r="I4" s="25" t="s">
        <v>212</v>
      </c>
      <c r="J4" s="25"/>
    </row>
    <row r="5" customFormat="1" ht="114" customHeight="1" spans="1:9">
      <c r="A5" s="13" t="s">
        <v>175</v>
      </c>
      <c r="B5" s="17" t="s">
        <v>176</v>
      </c>
      <c r="C5" s="15">
        <v>33.0216</v>
      </c>
      <c r="D5" s="16">
        <v>0.0103332996368408</v>
      </c>
      <c r="E5" s="16">
        <v>10.0136</v>
      </c>
      <c r="F5" s="16">
        <f t="shared" si="0"/>
        <v>3.29767516177998</v>
      </c>
      <c r="G5" s="16">
        <v>3614007</v>
      </c>
      <c r="H5" s="25" t="s">
        <v>213</v>
      </c>
      <c r="I5" s="25" t="s">
        <v>214</v>
      </c>
    </row>
    <row r="6" ht="121.5" customHeight="1" spans="1:10">
      <c r="A6" s="13" t="s">
        <v>179</v>
      </c>
      <c r="B6" s="17" t="s">
        <v>180</v>
      </c>
      <c r="C6" s="15">
        <v>26.7836</v>
      </c>
      <c r="D6" s="16">
        <v>0.0099797248840332</v>
      </c>
      <c r="E6" s="16">
        <v>6.064</v>
      </c>
      <c r="F6" s="16">
        <f t="shared" si="0"/>
        <v>4.41682058047493</v>
      </c>
      <c r="G6" s="16">
        <v>5151969</v>
      </c>
      <c r="H6" s="25" t="s">
        <v>215</v>
      </c>
      <c r="I6" s="25" t="s">
        <v>216</v>
      </c>
      <c r="J6" s="25"/>
    </row>
    <row r="7" customFormat="1" ht="409.5" spans="1:9">
      <c r="A7" s="13" t="s">
        <v>183</v>
      </c>
      <c r="B7" s="18" t="s">
        <v>184</v>
      </c>
      <c r="C7" s="15">
        <v>198.1992</v>
      </c>
      <c r="D7" s="16">
        <v>0.014754295349121</v>
      </c>
      <c r="E7" s="16">
        <v>122.1916</v>
      </c>
      <c r="F7" s="16">
        <f t="shared" si="0"/>
        <v>1.62203621198184</v>
      </c>
      <c r="G7" s="16">
        <v>76828189</v>
      </c>
      <c r="H7" s="25" t="s">
        <v>217</v>
      </c>
      <c r="I7" s="25" t="s">
        <v>218</v>
      </c>
    </row>
    <row r="8" customFormat="1" ht="156.5" customHeight="1" spans="1:9">
      <c r="A8" s="13" t="s">
        <v>187</v>
      </c>
      <c r="B8" s="17" t="s">
        <v>188</v>
      </c>
      <c r="C8" s="15">
        <v>52.0568</v>
      </c>
      <c r="D8" s="16">
        <v>0.0128242969512939</v>
      </c>
      <c r="E8" s="16">
        <v>11.5946</v>
      </c>
      <c r="F8" s="16">
        <f t="shared" si="0"/>
        <v>4.489745226226</v>
      </c>
      <c r="G8" s="16">
        <v>14601110</v>
      </c>
      <c r="H8" s="25" t="s">
        <v>219</v>
      </c>
      <c r="I8" s="25" t="s">
        <v>220</v>
      </c>
    </row>
    <row r="9" ht="129.5" customHeight="1" spans="1:10">
      <c r="A9" s="13" t="s">
        <v>191</v>
      </c>
      <c r="B9" s="17" t="s">
        <v>192</v>
      </c>
      <c r="C9" s="15">
        <v>34.2504</v>
      </c>
      <c r="D9" s="16">
        <v>0.0106832981109619</v>
      </c>
      <c r="E9" s="16">
        <v>3.8304</v>
      </c>
      <c r="F9" s="16">
        <f t="shared" si="0"/>
        <v>8.94172932330827</v>
      </c>
      <c r="G9" s="16">
        <v>2724147</v>
      </c>
      <c r="H9" s="25" t="s">
        <v>221</v>
      </c>
      <c r="I9" s="25" t="s">
        <v>222</v>
      </c>
      <c r="J9" s="25"/>
    </row>
    <row r="10" customFormat="1" ht="172.5" customHeight="1" spans="1:9">
      <c r="A10" s="13" t="s">
        <v>195</v>
      </c>
      <c r="B10" s="17" t="s">
        <v>196</v>
      </c>
      <c r="C10" s="15">
        <v>129.2534</v>
      </c>
      <c r="D10" s="16">
        <v>0.0131294727325439</v>
      </c>
      <c r="E10" s="16">
        <v>29.7702</v>
      </c>
      <c r="F10" s="16">
        <f t="shared" si="0"/>
        <v>4.34170412022761</v>
      </c>
      <c r="G10" s="16">
        <v>39595119</v>
      </c>
      <c r="H10" s="25" t="s">
        <v>223</v>
      </c>
      <c r="I10" s="25" t="s">
        <v>224</v>
      </c>
    </row>
    <row r="11" customFormat="1" ht="141" customHeight="1" spans="1:10">
      <c r="A11" s="13" t="s">
        <v>199</v>
      </c>
      <c r="B11" s="19" t="s">
        <v>200</v>
      </c>
      <c r="C11" s="20">
        <v>0.0145978927612304</v>
      </c>
      <c r="D11" s="21">
        <v>0</v>
      </c>
      <c r="E11" s="20">
        <v>0.016017198562622</v>
      </c>
      <c r="F11" s="16">
        <f t="shared" si="0"/>
        <v>0.911388636668105</v>
      </c>
      <c r="G11" s="22"/>
      <c r="H11" s="25" t="s">
        <v>225</v>
      </c>
      <c r="I11" s="25"/>
      <c r="J11" s="25"/>
    </row>
    <row r="12" ht="137.5" customHeight="1" spans="1:10">
      <c r="A12" s="13" t="s">
        <v>202</v>
      </c>
      <c r="B12" s="14" t="s">
        <v>226</v>
      </c>
      <c r="C12" s="20">
        <v>0.00709044933319091</v>
      </c>
      <c r="D12" s="22">
        <v>0</v>
      </c>
      <c r="E12" s="20">
        <v>0.021131157875061</v>
      </c>
      <c r="F12" s="16">
        <f t="shared" si="0"/>
        <v>0.335544761679106</v>
      </c>
      <c r="G12" s="26"/>
      <c r="H12" s="25" t="s">
        <v>227</v>
      </c>
      <c r="I12" s="25"/>
      <c r="J12" s="25"/>
    </row>
    <row r="13" customFormat="1" ht="125" customHeight="1" spans="1:10">
      <c r="A13" s="13" t="s">
        <v>205</v>
      </c>
      <c r="B13" s="17" t="s">
        <v>206</v>
      </c>
      <c r="C13" s="20">
        <v>0.00793701410293579</v>
      </c>
      <c r="D13" s="21">
        <v>0</v>
      </c>
      <c r="E13" s="20">
        <v>0.027372658252716</v>
      </c>
      <c r="F13" s="16">
        <f t="shared" si="0"/>
        <v>0.28996139248362</v>
      </c>
      <c r="G13" s="22"/>
      <c r="H13" s="25" t="s">
        <v>228</v>
      </c>
      <c r="I13" s="25"/>
      <c r="J13" s="25"/>
    </row>
    <row r="14" customFormat="1" ht="21" spans="1:9">
      <c r="A14" s="13"/>
      <c r="B14" s="14"/>
      <c r="C14" s="23">
        <f>SUM(C4:C13)</f>
        <v>520.898425356197</v>
      </c>
      <c r="D14" s="23">
        <f>E14+C2+E2+G2</f>
        <v>439.02252101469</v>
      </c>
      <c r="E14" s="23">
        <f>SUM(E4:E13)</f>
        <v>211.15452101469</v>
      </c>
      <c r="F14" s="20">
        <f>GEOMEAN(F4:F13)</f>
        <v>1.90373291003902</v>
      </c>
      <c r="G14" s="27">
        <f>C14/D14</f>
        <v>1.18649590948608</v>
      </c>
      <c r="H14" s="23">
        <f>C14/E14</f>
        <v>2.46690633405835</v>
      </c>
      <c r="I14" s="27"/>
    </row>
    <row r="15" customFormat="1" ht="18.75" spans="3:9">
      <c r="C15" s="24" t="s">
        <v>52</v>
      </c>
      <c r="D15" s="24" t="s">
        <v>53</v>
      </c>
      <c r="E15" s="24" t="s">
        <v>54</v>
      </c>
      <c r="F15" s="24" t="s">
        <v>55</v>
      </c>
      <c r="G15" s="24" t="s">
        <v>56</v>
      </c>
      <c r="H15" s="24" t="s">
        <v>57</v>
      </c>
      <c r="I15" s="24"/>
    </row>
  </sheetData>
  <sheetProtection formatCells="0" formatColumns="0" formatRows="0" insertRows="0" insertColumns="0" insertHyperlinks="0" deleteColumns="0" deleteRows="0" sort="0" autoFilter="0" pivotTables="0"/>
  <mergeCells count="1">
    <mergeCell ref="B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workbookViewId="0">
      <selection activeCell="A1" sqref="A1:B1"/>
    </sheetView>
  </sheetViews>
  <sheetFormatPr defaultColWidth="9" defaultRowHeight="13.5" outlineLevelCol="1"/>
  <cols>
    <col min="1" max="1" width="27.875" customWidth="1"/>
    <col min="2" max="2" width="44.5416666666667" customWidth="1"/>
    <col min="3" max="4" width="9.375"/>
  </cols>
  <sheetData>
    <row r="1" ht="47.25" spans="1:2">
      <c r="A1" s="1" t="s">
        <v>229</v>
      </c>
      <c r="B1" s="2"/>
    </row>
    <row r="2" spans="1:2">
      <c r="A2" s="3" t="s">
        <v>107</v>
      </c>
      <c r="B2" s="3" t="s">
        <v>108</v>
      </c>
    </row>
    <row r="3" spans="1:2">
      <c r="A3" s="4" t="s">
        <v>230</v>
      </c>
      <c r="B3" s="5">
        <v>1534180</v>
      </c>
    </row>
    <row r="4" spans="1:2">
      <c r="A4" s="4" t="s">
        <v>231</v>
      </c>
      <c r="B4" s="5">
        <v>1028775</v>
      </c>
    </row>
    <row r="5" spans="1:2">
      <c r="A5" s="4" t="s">
        <v>232</v>
      </c>
      <c r="B5" s="5">
        <v>1940119</v>
      </c>
    </row>
    <row r="6" spans="1:2">
      <c r="A6" s="4" t="s">
        <v>109</v>
      </c>
      <c r="B6" s="5">
        <v>582672</v>
      </c>
    </row>
    <row r="7" spans="1:2">
      <c r="A7" s="4" t="s">
        <v>233</v>
      </c>
      <c r="B7" s="5">
        <v>291235</v>
      </c>
    </row>
    <row r="8" spans="1:2">
      <c r="A8" s="3" t="s">
        <v>117</v>
      </c>
      <c r="B8" s="6">
        <f>SUM(B3:B7)</f>
        <v>5376981</v>
      </c>
    </row>
    <row r="9" spans="1:2">
      <c r="A9" s="4"/>
      <c r="B9" s="5"/>
    </row>
    <row r="10" spans="1:2">
      <c r="A10" s="3" t="s">
        <v>118</v>
      </c>
      <c r="B10" s="3" t="s">
        <v>108</v>
      </c>
    </row>
    <row r="11" spans="1:2">
      <c r="A11" s="4" t="s">
        <v>234</v>
      </c>
      <c r="B11" s="5">
        <v>6766001</v>
      </c>
    </row>
    <row r="12" spans="1:2">
      <c r="A12" s="4" t="s">
        <v>235</v>
      </c>
      <c r="B12" s="5">
        <v>6219881</v>
      </c>
    </row>
    <row r="13" spans="1:2">
      <c r="A13" s="4" t="s">
        <v>236</v>
      </c>
      <c r="B13" s="5">
        <v>2024665</v>
      </c>
    </row>
    <row r="14" spans="1:2">
      <c r="A14" s="4" t="s">
        <v>237</v>
      </c>
      <c r="B14" s="5">
        <v>1964476</v>
      </c>
    </row>
    <row r="15" spans="1:2">
      <c r="A15" s="4" t="s">
        <v>238</v>
      </c>
      <c r="B15" s="5">
        <v>5127913</v>
      </c>
    </row>
    <row r="16" spans="1:2">
      <c r="A16" s="4" t="s">
        <v>239</v>
      </c>
      <c r="B16" s="5">
        <v>1028625</v>
      </c>
    </row>
    <row r="17" spans="1:2">
      <c r="A17" s="4" t="s">
        <v>240</v>
      </c>
      <c r="B17" s="5">
        <v>1022914</v>
      </c>
    </row>
    <row r="18" spans="1:2">
      <c r="A18" s="4" t="s">
        <v>241</v>
      </c>
      <c r="B18" s="5">
        <v>685321</v>
      </c>
    </row>
    <row r="19" spans="1:2">
      <c r="A19" s="4" t="s">
        <v>242</v>
      </c>
      <c r="B19" s="5">
        <v>511266</v>
      </c>
    </row>
    <row r="20" spans="1:2">
      <c r="A20" s="4" t="s">
        <v>243</v>
      </c>
      <c r="B20" s="5">
        <v>512922</v>
      </c>
    </row>
    <row r="21" spans="1:2">
      <c r="A21" s="4" t="s">
        <v>244</v>
      </c>
      <c r="B21" s="5">
        <v>343454</v>
      </c>
    </row>
    <row r="22" spans="1:2">
      <c r="A22" s="4" t="s">
        <v>245</v>
      </c>
      <c r="B22" s="5">
        <v>284060</v>
      </c>
    </row>
    <row r="23" spans="1:2">
      <c r="A23" s="4" t="s">
        <v>246</v>
      </c>
      <c r="B23" s="5">
        <v>141653</v>
      </c>
    </row>
    <row r="24" spans="1:2">
      <c r="A24" s="3" t="s">
        <v>117</v>
      </c>
      <c r="B24" s="7">
        <f>SUM(B11:B23)</f>
        <v>26633151</v>
      </c>
    </row>
    <row r="25" spans="1:2">
      <c r="A25" s="4"/>
      <c r="B25" s="5"/>
    </row>
    <row r="26" spans="1:2">
      <c r="A26" s="4"/>
      <c r="B26" s="5"/>
    </row>
    <row r="27" spans="1:2">
      <c r="A27" s="4"/>
      <c r="B27" s="5"/>
    </row>
    <row r="28" spans="1:2">
      <c r="A28" s="4"/>
      <c r="B28" s="5"/>
    </row>
    <row r="29" spans="1:2">
      <c r="A29" s="4"/>
      <c r="B29" s="5"/>
    </row>
    <row r="30" spans="1:2">
      <c r="A30" s="4"/>
      <c r="B30" s="5"/>
    </row>
    <row r="31" spans="1:2">
      <c r="A31" s="4"/>
      <c r="B31" s="5"/>
    </row>
    <row r="32" spans="1:2">
      <c r="A32" s="4"/>
      <c r="B32" s="5"/>
    </row>
    <row r="33" spans="1:2">
      <c r="A33" s="4"/>
      <c r="B33" s="5"/>
    </row>
    <row r="34" spans="1:2">
      <c r="A34" s="3"/>
      <c r="B34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B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5" interlineOnOff="0" interlineColor="0" isDbSheet="0" isDashBoardSheet="0" isDbDashBoardSheet="0" isFlexPaperSheet="0">
      <cellprotection/>
      <appEtDbRelations/>
    </woSheetProps>
    <woSheetProps sheetStid="29" interlineOnOff="0" interlineColor="0" isDbSheet="0" isDashBoardSheet="0" isDbDashBoardSheet="0" isFlexPaperSheet="0">
      <cellprotection/>
      <appEtDbRelations/>
    </woSheetProps>
    <woSheetProps sheetStid="24" interlineOnOff="0" interlineColor="0" isDbSheet="0" isDashBoardSheet="0" isDbDashBoardSheet="0" isFlexPaperSheet="0">
      <cellprotection/>
      <appEtDbRelations/>
    </woSheetProps>
    <woSheetProps sheetStid="30" interlineOnOff="0" interlineColor="0" isDbSheet="0" isDashBoardSheet="0" isDbDashBoardSheet="0" isFlexPaperSheet="0">
      <hyperlinks>
        <hyperlink ref="H5">
          <hypersublink pos="2101" length="8" display="&quot;n0.name" address="https://&quot;n0.name" subaddress="" screenTip="" linkrunstype="LRTURL"/>
        </hyperlink>
      </hyperlinks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28" interlineOnOff="0" interlineColor="0" isDbSheet="0" isDashBoardSheet="0" isDbDashBoardSheet="0" isFlexPaperSheet="0">
      <cellprotection/>
      <appEtDbRelations/>
    </woSheetProps>
    <woSheetProps sheetStid="26" interlineOnOff="0" interlineColor="0" isDbSheet="0" isDashBoardSheet="0" isDbDashBoardSheet="0" isFlexPaperSheet="0">
      <cellprotection/>
      <appEtDbRelations/>
    </woSheetProps>
    <woSheetProps sheetStid="32" interlineOnOff="0" interlineColor="0" isDbSheet="0" isDashBoardSheet="0" isDbDashBoardSheet="0" isFlexPaperSheet="0">
      <cellprotection/>
      <appEtDbRelations/>
    </woSheetProps>
    <woSheetProps sheetStid="34" interlineOnOff="0" interlineColor="0" isDbSheet="0" isDashBoardSheet="0" isDbDashBoardSheet="0" isFlexPaperSheet="0">
      <cellprotection/>
      <appEtDbRelations/>
    </woSheetProps>
    <woSheetProps sheetStid="21" interlineOnOff="0" interlineColor="0" isDbSheet="0" isDashBoardSheet="0" isDbDashBoardSheet="0" isFlexPaperSheet="0">
      <cellprotection/>
      <appEtDbRelations/>
    </woSheetProps>
    <woSheetProps sheetStid="22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</woSheetsProps>
  <woBookProps>
    <bookSettings fileId="33980099175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5"/>
  <pixelatorList sheetStid="29"/>
  <pixelatorList sheetStid="24"/>
  <pixelatorList sheetStid="30"/>
  <pixelatorList sheetStid="17"/>
  <pixelatorList sheetStid="28"/>
  <pixelatorList sheetStid="26"/>
  <pixelatorList sheetStid="32"/>
  <pixelatorList sheetStid="34"/>
  <pixelatorList sheetStid="21"/>
  <pixelatorList sheetStid="22"/>
  <pixelatorList sheetStid="19"/>
  <pixelatorList sheetStid="35"/>
</pixelators>
</file>

<file path=customXml/item3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WWO_wpscloud_20251010183206-22817e2cf8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tugraph_snb1</vt:lpstr>
      <vt:lpstr>tugraph_snb10</vt:lpstr>
      <vt:lpstr>neo4j_snb1</vt:lpstr>
      <vt:lpstr>neo4j_snb10</vt:lpstr>
      <vt:lpstr>snbSf1</vt:lpstr>
      <vt:lpstr>snbSf10</vt:lpstr>
      <vt:lpstr>delete_performance</vt:lpstr>
      <vt:lpstr>Compare_Gview</vt:lpstr>
      <vt:lpstr>Compare_Gview_Sql</vt:lpstr>
      <vt:lpstr>tugraph_finbench</vt:lpstr>
      <vt:lpstr>neo4j_finbench</vt:lpstr>
      <vt:lpstr>finbenchSf10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seijiang</dc:creator>
  <cp:lastModifiedBy>xcj</cp:lastModifiedBy>
  <dcterms:created xsi:type="dcterms:W3CDTF">2023-08-06T07:34:00Z</dcterms:created>
  <dcterms:modified xsi:type="dcterms:W3CDTF">2024-11-10T17:43:00Z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0025AC5FAC3041938F5C4386098ED7A4_13</vt:lpwstr>
  </property>
  <property fmtid="{D5CDD505-2E9C-101B-9397-08002B2CF9AE}" pid="3" name="KSOProductBuildVer">
    <vt:lpwstr>2052-12.9.0.23240</vt:lpwstr>
  </property>
</Properties>
</file>